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Self Skill Awareness Distribution\"/>
    </mc:Choice>
  </mc:AlternateContent>
  <bookViews>
    <workbookView xWindow="0" yWindow="0" windowWidth="14380" windowHeight="4330" activeTab="1"/>
  </bookViews>
  <sheets>
    <sheet name="Sheet3" sheetId="3" r:id="rId1"/>
    <sheet name="Sheet1" sheetId="1" r:id="rId2"/>
    <sheet name="Dashboard" sheetId="5" r:id="rId3"/>
  </sheets>
  <calcPr calcId="152511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C6" i="3"/>
  <c r="C7" i="3"/>
  <c r="C4" i="3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</calcChain>
</file>

<file path=xl/sharedStrings.xml><?xml version="1.0" encoding="utf-8"?>
<sst xmlns="http://schemas.openxmlformats.org/spreadsheetml/2006/main" count="1071" uniqueCount="209">
  <si>
    <t>No</t>
  </si>
  <si>
    <t>Student_Id</t>
  </si>
  <si>
    <t>Department</t>
  </si>
  <si>
    <t>Subject</t>
  </si>
  <si>
    <t>Topic</t>
  </si>
  <si>
    <t>Learning_Method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</si>
  <si>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</si>
  <si>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</si>
  <si>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</si>
  <si>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</si>
  <si>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</si>
  <si>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</si>
  <si>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</si>
  <si>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</si>
  <si>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</si>
  <si>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</si>
  <si>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</si>
  <si>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</si>
  <si>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</si>
  <si>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</si>
  <si>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</si>
  <si>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</si>
  <si>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</si>
  <si>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</si>
  <si>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</si>
  <si>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</si>
  <si>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</si>
  <si>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</si>
  <si>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</si>
  <si>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</si>
  <si>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</si>
  <si>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</si>
  <si>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</si>
  <si>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</si>
  <si>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</si>
  <si>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</si>
  <si>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</si>
  <si>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</si>
  <si>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</si>
  <si>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</si>
  <si>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</si>
  <si>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</si>
  <si>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</si>
  <si>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</si>
  <si>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</si>
  <si>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</si>
  <si>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</si>
  <si>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</si>
  <si>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</si>
  <si>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</si>
  <si>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</si>
  <si>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</si>
  <si>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</si>
  <si>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</si>
  <si>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</si>
  <si>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</si>
  <si>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</si>
  <si>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</si>
  <si>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</si>
  <si>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</si>
  <si>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</si>
  <si>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</si>
  <si>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</si>
  <si>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</si>
  <si>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</si>
  <si>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</si>
  <si>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</si>
  <si>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</si>
  <si>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</si>
  <si>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</si>
  <si>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</si>
  <si>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</si>
  <si>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</si>
  <si>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</si>
  <si>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</si>
  <si>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</si>
  <si>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</si>
  <si>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</si>
  <si>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</si>
  <si>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</si>
  <si>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</si>
  <si>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</si>
  <si>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</si>
  <si>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</si>
  <si>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</si>
  <si>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</si>
  <si>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</si>
  <si>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</si>
  <si>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</si>
  <si>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</si>
  <si>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</si>
  <si>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</si>
  <si>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</si>
  <si>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</si>
  <si>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</si>
  <si>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</si>
  <si>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</si>
  <si>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</si>
  <si>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</si>
  <si>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</si>
  <si>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</si>
  <si>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</si>
  <si>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</si>
  <si>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</si>
  <si>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</si>
  <si>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</si>
  <si>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</si>
  <si>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</si>
  <si>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</si>
  <si>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</si>
  <si>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</si>
  <si>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</si>
  <si>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</si>
  <si>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</si>
  <si>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</si>
  <si>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</si>
  <si>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</si>
  <si>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</si>
  <si>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</si>
  <si>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</si>
  <si>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</si>
  <si>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</si>
  <si>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</si>
  <si>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</si>
  <si>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</si>
  <si>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</si>
  <si>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</si>
  <si>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</si>
  <si>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</si>
  <si>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</si>
  <si>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</si>
  <si>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</si>
  <si>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</si>
  <si>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</si>
  <si>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</si>
  <si>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</si>
  <si>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</si>
  <si>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</si>
  <si>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</si>
  <si>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</si>
  <si>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</si>
  <si>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</si>
  <si>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</si>
  <si>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</si>
  <si>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</si>
  <si>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</si>
  <si>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</si>
  <si>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</si>
  <si>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</si>
  <si>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</si>
  <si>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</si>
  <si>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</si>
  <si>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</si>
  <si>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</si>
  <si>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</si>
  <si>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</si>
  <si>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Time_Spent_Min</t>
  </si>
  <si>
    <t>Expected_Level</t>
  </si>
  <si>
    <t>Awareness_Gap</t>
  </si>
  <si>
    <t>Awareness_Level</t>
  </si>
  <si>
    <t>Computer Science</t>
  </si>
  <si>
    <t>Information Technology</t>
  </si>
  <si>
    <t>Data Analytics</t>
  </si>
  <si>
    <t>Artificial Intelligence</t>
  </si>
  <si>
    <t>Machine Learning</t>
  </si>
  <si>
    <t>Cyber Security</t>
  </si>
  <si>
    <t>Software Engineering</t>
  </si>
  <si>
    <t>Data Scientist</t>
  </si>
  <si>
    <t>Linear Algebra</t>
  </si>
  <si>
    <t>Data Structures</t>
  </si>
  <si>
    <t>Data Visualization</t>
  </si>
  <si>
    <t>Computer Networks</t>
  </si>
  <si>
    <t>DevOps</t>
  </si>
  <si>
    <t>Big Data Basics</t>
  </si>
  <si>
    <t>Mathematics</t>
  </si>
  <si>
    <t>Database Management</t>
  </si>
  <si>
    <t>Arrays</t>
  </si>
  <si>
    <t>ER Diagram</t>
  </si>
  <si>
    <t>Visualization Tools</t>
  </si>
  <si>
    <t>Probability Basics</t>
  </si>
  <si>
    <t>Matrices</t>
  </si>
  <si>
    <t>OSI Model</t>
  </si>
  <si>
    <t>Docker Basics</t>
  </si>
  <si>
    <t>Hadoop Architecture</t>
  </si>
  <si>
    <t>Diagram</t>
  </si>
  <si>
    <t>Dashboards</t>
  </si>
  <si>
    <t>Writing</t>
  </si>
  <si>
    <t>Listening</t>
  </si>
  <si>
    <t>Notes</t>
  </si>
  <si>
    <t>Practice</t>
  </si>
  <si>
    <t>Observation</t>
  </si>
  <si>
    <t>Videos</t>
  </si>
  <si>
    <t>Array</t>
  </si>
  <si>
    <t>Actaual_Level</t>
  </si>
  <si>
    <t>Beginner</t>
  </si>
  <si>
    <t>Basic</t>
  </si>
  <si>
    <t>Advanced</t>
  </si>
  <si>
    <t>Intermediate</t>
  </si>
  <si>
    <t>Expert</t>
  </si>
  <si>
    <t>Actual_Score</t>
  </si>
  <si>
    <t>Expected_Score</t>
  </si>
  <si>
    <t>Above Expectation</t>
  </si>
  <si>
    <t>Needs Improvement</t>
  </si>
  <si>
    <t>On Track</t>
  </si>
  <si>
    <t>Grand Total</t>
  </si>
  <si>
    <t>Total</t>
  </si>
  <si>
    <t>Total Topics</t>
  </si>
  <si>
    <t>Percentage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</si>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</sst>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0" fillId="3" borderId="0" xfId="0" applyFill="1"/>
    <xf numFmtId="9" fontId="0" fillId="0" borderId="0" xfId="2" applyFont="1"/>
    <xf numFmtId="0" fontId="0" fillId="3" borderId="0" xfId="0" applyFill="1" applyAlignment="1">
      <alignment vertical="top"/>
    </xf>
  </cellXfs>
  <cellStyles count="3">
    <cellStyle name="Normal" xfId="0" builtinId="0"/>
    <cellStyle name="Percent" xfId="2" builtinId="5"/>
    <cellStyle name="Style 1" xfId="1"/>
  </cellStyles>
  <dxfs count="0"/>
  <tableStyles count="0" defaultTableStyle="TableStyleMedium2" defaultPivotStyle="PivotStyleLight16"/>
  <colors>
    <mruColors>
      <color rgb="FFD9A4E0"/>
      <color rgb="FFE6B4DB"/>
      <color rgb="FFBACBDF"/>
      <color rgb="FFEFDDEA"/>
      <color rgb="FFFFFF99"/>
      <color rgb="FFFF3399"/>
      <color rgb="FF9DA1F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data.xlsx]Sheet3!PivotTable2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 Skill Awareness Summary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9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>
              <a:schemeClr val="accent6">
                <a:satMod val="175000"/>
                <a:alpha val="25000"/>
              </a:schemeClr>
            </a:glow>
          </a:effectLst>
        </c:spPr>
        <c:dLbl>
          <c:idx val="0"/>
          <c:layout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541764E-1175-493D-8398-A7E786082ADB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BCC22418-0DD0-4F81-8ACA-1D03EA5239AB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>
              <a:schemeClr val="accent6">
                <a:satMod val="175000"/>
                <a:alpha val="25000"/>
              </a:schemeClr>
            </a:glow>
          </a:effectLst>
        </c:spPr>
        <c:dLbl>
          <c:idx val="0"/>
          <c:layout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620FD7A-3263-4148-9EB0-80551A7F222E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86FA9600-3DA9-47EC-94EC-CCD36D8B4C9B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>
              <a:schemeClr val="accent6">
                <a:satMod val="175000"/>
                <a:alpha val="25000"/>
              </a:schemeClr>
            </a:glow>
          </a:effectLst>
        </c:spPr>
        <c:dLbl>
          <c:idx val="0"/>
          <c:layout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BA94413-0C5A-4292-9EC7-762F607B8CED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A79E16B9-BDA3-4D72-B732-0B24CA195BDE}" type="VALUE">
                  <a:rPr lang="en-US" baseline="0"/>
                  <a:pPr>
                    <a:defRPr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Sheet3!$C$4:$C$6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541764E-1175-493D-8398-A7E786082AD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CC22418-0DD0-4F81-8ACA-1D03EA5239A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620FD7A-3263-4148-9EB0-80551A7F222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6FA9600-3DA9-47EC-94EC-CCD36D8B4C9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BA94413-0C5A-4292-9EC7-762F607B8CE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79E16B9-BDA3-4D72-B732-0B24CA195BD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Sheet3!$C$4:$C$6</c:f>
              <c:strCache>
                <c:ptCount val="3"/>
                <c:pt idx="0">
                  <c:v>Above Expectation</c:v>
                </c:pt>
                <c:pt idx="1">
                  <c:v>Needs Improvement</c:v>
                </c:pt>
                <c:pt idx="2">
                  <c:v>On Track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3"/>
                <c:pt idx="0">
                  <c:v>7</c:v>
                </c:pt>
                <c:pt idx="1">
                  <c:v>113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Sheet3!$C$4:$C$6</c15:f>
                <c15:dlblRangeCache>
                  <c:ptCount val="3"/>
                  <c:pt idx="0">
                    <c:v>5%</c:v>
                  </c:pt>
                  <c:pt idx="1">
                    <c:v>75%</c:v>
                  </c:pt>
                  <c:pt idx="2">
                    <c:v>20%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0"/>
        <c:axId val="1187420464"/>
        <c:axId val="1187422640"/>
      </c:barChart>
      <c:valAx>
        <c:axId val="11874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0464"/>
        <c:crosses val="autoZero"/>
        <c:crossBetween val="between"/>
      </c:valAx>
      <c:catAx>
        <c:axId val="118742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50000"/>
        <a:lumOff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0</xdr:row>
      <xdr:rowOff>165100</xdr:rowOff>
    </xdr:from>
    <xdr:to>
      <xdr:col>11</xdr:col>
      <xdr:colOff>260350</xdr:colOff>
      <xdr:row>3</xdr:row>
      <xdr:rowOff>12700</xdr:rowOff>
    </xdr:to>
    <xdr:sp macro="" textlink="">
      <xdr:nvSpPr>
        <xdr:cNvPr id="2" name="TextBox 1"/>
        <xdr:cNvSpPr txBox="1"/>
      </xdr:nvSpPr>
      <xdr:spPr>
        <a:xfrm>
          <a:off x="3397250" y="165100"/>
          <a:ext cx="3568700" cy="400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0">
              <a:solidFill>
                <a:sysClr val="windowText" lastClr="000000"/>
              </a:solidFill>
            </a:rPr>
            <a:t>Se</a:t>
          </a:r>
          <a:r>
            <a:rPr lang="en-US" sz="18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lf Skill </a:t>
          </a:r>
          <a:r>
            <a:rPr lang="en-US" sz="1800" b="0">
              <a:solidFill>
                <a:sysClr val="windowText" lastClr="000000"/>
              </a:solidFill>
            </a:rPr>
            <a:t>Awareness Distribution</a:t>
          </a:r>
        </a:p>
        <a:p>
          <a:endParaRPr lang="en-US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196850</xdr:colOff>
      <xdr:row>4</xdr:row>
      <xdr:rowOff>25400</xdr:rowOff>
    </xdr:from>
    <xdr:to>
      <xdr:col>3</xdr:col>
      <xdr:colOff>571500</xdr:colOff>
      <xdr:row>7</xdr:row>
      <xdr:rowOff>76200</xdr:rowOff>
    </xdr:to>
    <xdr:sp macro="" textlink="">
      <xdr:nvSpPr>
        <xdr:cNvPr id="3" name="TextBox 2"/>
        <xdr:cNvSpPr txBox="1"/>
      </xdr:nvSpPr>
      <xdr:spPr>
        <a:xfrm>
          <a:off x="196850" y="762000"/>
          <a:ext cx="2203450" cy="6032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Total Responses -150</a:t>
          </a:r>
        </a:p>
      </xdr:txBody>
    </xdr:sp>
    <xdr:clientData/>
  </xdr:twoCellAnchor>
  <xdr:twoCellAnchor>
    <xdr:from>
      <xdr:col>0</xdr:col>
      <xdr:colOff>501650</xdr:colOff>
      <xdr:row>8</xdr:row>
      <xdr:rowOff>146050</xdr:rowOff>
    </xdr:from>
    <xdr:to>
      <xdr:col>8</xdr:col>
      <xdr:colOff>304800</xdr:colOff>
      <xdr:row>23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8</xdr:row>
      <xdr:rowOff>177800</xdr:rowOff>
    </xdr:from>
    <xdr:to>
      <xdr:col>15</xdr:col>
      <xdr:colOff>57150</xdr:colOff>
      <xdr:row>17</xdr:row>
      <xdr:rowOff>165100</xdr:rowOff>
    </xdr:to>
    <xdr:sp macro="" textlink="">
      <xdr:nvSpPr>
        <xdr:cNvPr id="5" name="TextBox 4"/>
        <xdr:cNvSpPr txBox="1"/>
      </xdr:nvSpPr>
      <xdr:spPr>
        <a:xfrm>
          <a:off x="5778500" y="1651000"/>
          <a:ext cx="3422650" cy="164465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Key Insights</a:t>
          </a:r>
        </a:p>
        <a:p>
          <a:endParaRPr 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• Majority (75%) require improvement – major skill gap.</a:t>
          </a:r>
        </a:p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• Only 5% are high performers – limited excellence.</a:t>
          </a:r>
        </a:p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• 20% meet expectations but need development support.</a:t>
          </a:r>
        </a:p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• Structured training programs are required.</a:t>
          </a:r>
        </a:p>
      </xdr:txBody>
    </xdr:sp>
    <xdr:clientData/>
  </xdr:twoCellAnchor>
  <xdr:twoCellAnchor>
    <xdr:from>
      <xdr:col>4</xdr:col>
      <xdr:colOff>127000</xdr:colOff>
      <xdr:row>4</xdr:row>
      <xdr:rowOff>25400</xdr:rowOff>
    </xdr:from>
    <xdr:to>
      <xdr:col>8</xdr:col>
      <xdr:colOff>12700</xdr:colOff>
      <xdr:row>7</xdr:row>
      <xdr:rowOff>101600</xdr:rowOff>
    </xdr:to>
    <xdr:sp macro="" textlink="">
      <xdr:nvSpPr>
        <xdr:cNvPr id="7" name="TextBox 6"/>
        <xdr:cNvSpPr txBox="1"/>
      </xdr:nvSpPr>
      <xdr:spPr>
        <a:xfrm>
          <a:off x="2565400" y="762000"/>
          <a:ext cx="2324100" cy="6286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/>
            <a:t>Above Expectation</a:t>
          </a:r>
          <a:r>
            <a:rPr lang="en-US" sz="1600" baseline="0"/>
            <a:t> -7(5%)</a:t>
          </a:r>
          <a:endParaRPr lang="en-US" sz="1600"/>
        </a:p>
      </xdr:txBody>
    </xdr:sp>
    <xdr:clientData/>
  </xdr:twoCellAnchor>
  <xdr:twoCellAnchor>
    <xdr:from>
      <xdr:col>8</xdr:col>
      <xdr:colOff>171450</xdr:colOff>
      <xdr:row>4</xdr:row>
      <xdr:rowOff>31750</xdr:rowOff>
    </xdr:from>
    <xdr:to>
      <xdr:col>11</xdr:col>
      <xdr:colOff>260350</xdr:colOff>
      <xdr:row>7</xdr:row>
      <xdr:rowOff>107950</xdr:rowOff>
    </xdr:to>
    <xdr:sp macro="" textlink="">
      <xdr:nvSpPr>
        <xdr:cNvPr id="8" name="TextBox 7"/>
        <xdr:cNvSpPr txBox="1"/>
      </xdr:nvSpPr>
      <xdr:spPr>
        <a:xfrm>
          <a:off x="5048250" y="768350"/>
          <a:ext cx="1917700" cy="628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On Track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-30(20%)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463550</xdr:colOff>
      <xdr:row>4</xdr:row>
      <xdr:rowOff>38100</xdr:rowOff>
    </xdr:from>
    <xdr:to>
      <xdr:col>16</xdr:col>
      <xdr:colOff>133350</xdr:colOff>
      <xdr:row>7</xdr:row>
      <xdr:rowOff>107950</xdr:rowOff>
    </xdr:to>
    <xdr:sp macro="" textlink="">
      <xdr:nvSpPr>
        <xdr:cNvPr id="9" name="TextBox 8"/>
        <xdr:cNvSpPr txBox="1"/>
      </xdr:nvSpPr>
      <xdr:spPr>
        <a:xfrm>
          <a:off x="7169150" y="774700"/>
          <a:ext cx="2717800" cy="622300"/>
        </a:xfrm>
        <a:prstGeom prst="rect">
          <a:avLst/>
        </a:prstGeom>
        <a:solidFill>
          <a:srgbClr val="EFDDE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Needs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Inprovement -113(75%)</a:t>
          </a:r>
        </a:p>
      </xdr:txBody>
    </xdr:sp>
    <xdr:clientData/>
  </xdr:twoCellAnchor>
  <xdr:twoCellAnchor>
    <xdr:from>
      <xdr:col>9</xdr:col>
      <xdr:colOff>266700</xdr:colOff>
      <xdr:row>18</xdr:row>
      <xdr:rowOff>139700</xdr:rowOff>
    </xdr:from>
    <xdr:to>
      <xdr:col>15</xdr:col>
      <xdr:colOff>133350</xdr:colOff>
      <xdr:row>25</xdr:row>
      <xdr:rowOff>171450</xdr:rowOff>
    </xdr:to>
    <xdr:sp macro="" textlink="">
      <xdr:nvSpPr>
        <xdr:cNvPr id="6" name="Rectangle 5"/>
        <xdr:cNvSpPr/>
      </xdr:nvSpPr>
      <xdr:spPr>
        <a:xfrm>
          <a:off x="5753100" y="3454400"/>
          <a:ext cx="3524250" cy="1320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Recommendations</a:t>
          </a:r>
        </a:p>
        <a:p>
          <a:pPr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• Conduct structured skill development training</a:t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• Introduce mentoring and coaching support</a:t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• Monitor performance quarterly</a:t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• Focus on converting “Needs Improvement” to “On Track”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6.291218402781" createdVersion="5" refreshedVersion="5" minRefreshableVersion="3" recordCount="151">
  <cacheSource type="worksheet">
    <worksheetSource ref="A1:M1048576" sheet="Sheet1"/>
  </cacheSource>
  <cacheFields count="13">
    <cacheField name="No" numFmtId="0">
      <sharedItems containsString="0" containsBlank="1" containsNumber="1" containsInteger="1" minValue="1" maxValue="150" count="1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m/>
      </sharedItems>
    </cacheField>
    <cacheField name="Student_Id" numFmtId="0">
      <sharedItems containsBlank="1"/>
    </cacheField>
    <cacheField name="Department" numFmtId="0">
      <sharedItems containsBlank="1"/>
    </cacheField>
    <cacheField name="Subject" numFmtId="0">
      <sharedItems containsBlank="1"/>
    </cacheField>
    <cacheField name="Topic" numFmtId="0">
      <sharedItems containsBlank="1"/>
    </cacheField>
    <cacheField name="Learning_Method" numFmtId="0">
      <sharedItems containsBlank="1"/>
    </cacheField>
    <cacheField name="Time_Spent_Min" numFmtId="0">
      <sharedItems containsString="0" containsBlank="1" containsNumber="1" containsInteger="1" minValue="10" maxValue="35"/>
    </cacheField>
    <cacheField name="Actaual_Level" numFmtId="0">
      <sharedItems containsBlank="1"/>
    </cacheField>
    <cacheField name="Actual_Score" numFmtId="0">
      <sharedItems containsString="0" containsBlank="1" containsNumber="1" containsInteger="1" minValue="1" maxValue="5"/>
    </cacheField>
    <cacheField name="Expected_Level" numFmtId="0">
      <sharedItems containsBlank="1"/>
    </cacheField>
    <cacheField name="Expected_Score" numFmtId="0">
      <sharedItems containsString="0" containsBlank="1" containsNumber="1" containsInteger="1" minValue="1" maxValue="5"/>
    </cacheField>
    <cacheField name="Awareness_Gap" numFmtId="0">
      <sharedItems containsString="0" containsBlank="1" containsNumber="1" containsInteger="1" minValue="-2" maxValue="4"/>
    </cacheField>
    <cacheField name="Awareness_Level" numFmtId="0">
      <sharedItems containsBlank="1" count="4">
        <s v="Needs Improvement"/>
        <s v="On Track"/>
        <s v="Above Expect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s v="STU001"/>
    <s v="Machine Learning"/>
    <s v="Linear Algebra"/>
    <s v="Matrices"/>
    <s v="Writing"/>
    <n v="10"/>
    <s v="Beginner"/>
    <n v="1"/>
    <s v="Intermediate"/>
    <n v="3"/>
    <n v="2"/>
    <x v="0"/>
  </r>
  <r>
    <x v="1"/>
    <s v="STU002"/>
    <s v="Computer Science"/>
    <s v="Data Structures"/>
    <s v="Arrays"/>
    <s v="Practice"/>
    <n v="20"/>
    <s v="Basic"/>
    <n v="2"/>
    <s v="Expert"/>
    <n v="5"/>
    <n v="3"/>
    <x v="0"/>
  </r>
  <r>
    <x v="2"/>
    <s v="STU003"/>
    <s v="Data Analytics"/>
    <s v="Data Visualization"/>
    <s v="Visualization Tools"/>
    <s v="Dashboards"/>
    <n v="30"/>
    <s v="Advanced"/>
    <n v="4"/>
    <s v="Advanced"/>
    <n v="4"/>
    <n v="0"/>
    <x v="1"/>
  </r>
  <r>
    <x v="3"/>
    <s v="STU004"/>
    <s v="Cyber Security"/>
    <s v="Computer Networks"/>
    <s v="OSI Model"/>
    <s v="Notes"/>
    <n v="25"/>
    <s v="Intermediate"/>
    <n v="3"/>
    <s v="Basic"/>
    <n v="2"/>
    <n v="-1"/>
    <x v="2"/>
  </r>
  <r>
    <x v="4"/>
    <s v="STU005"/>
    <s v="Machine Learning"/>
    <s v="Linear Algebra"/>
    <s v="Matrices"/>
    <s v="Writing"/>
    <n v="10"/>
    <s v="Intermediate"/>
    <n v="3"/>
    <s v="Advanced"/>
    <n v="4"/>
    <n v="1"/>
    <x v="0"/>
  </r>
  <r>
    <x v="5"/>
    <s v="STU006"/>
    <s v="Software Engineering"/>
    <s v="DevOps"/>
    <s v="Docker Basics"/>
    <s v="Listening"/>
    <n v="17"/>
    <s v="Beginner"/>
    <n v="1"/>
    <s v="Intermediate"/>
    <n v="3"/>
    <n v="2"/>
    <x v="0"/>
  </r>
  <r>
    <x v="6"/>
    <s v="STU007"/>
    <s v="Data Scientist"/>
    <s v="Big Data Basics"/>
    <s v="Hadoop Architecture"/>
    <s v="Observation"/>
    <n v="15"/>
    <s v="Basic"/>
    <n v="2"/>
    <s v="Intermediate"/>
    <n v="3"/>
    <n v="1"/>
    <x v="0"/>
  </r>
  <r>
    <x v="7"/>
    <s v="STU008"/>
    <s v="Software Engineering"/>
    <s v="DevOps"/>
    <s v="Docker Basics"/>
    <s v="Listening"/>
    <n v="17"/>
    <s v="Intermediate"/>
    <n v="3"/>
    <s v="Advanced"/>
    <n v="4"/>
    <n v="1"/>
    <x v="0"/>
  </r>
  <r>
    <x v="8"/>
    <s v="STU009"/>
    <s v="Artificial Intelligence"/>
    <s v="Mathematics"/>
    <s v="Probability Basics"/>
    <s v="Videos"/>
    <n v="23"/>
    <s v="Advanced"/>
    <n v="4"/>
    <s v="Expert"/>
    <n v="5"/>
    <n v="1"/>
    <x v="0"/>
  </r>
  <r>
    <x v="9"/>
    <s v="STU010"/>
    <s v="Information Technology"/>
    <s v="Database Management"/>
    <s v="ER Diagram"/>
    <s v="Diagram"/>
    <n v="35"/>
    <s v="Basic"/>
    <n v="2"/>
    <s v="Advanced"/>
    <n v="4"/>
    <n v="2"/>
    <x v="0"/>
  </r>
  <r>
    <x v="10"/>
    <s v="STU011"/>
    <s v="Information Technology"/>
    <s v="Database Management"/>
    <s v="ER Diagram"/>
    <s v="Diagram"/>
    <n v="35"/>
    <s v="Expert"/>
    <n v="5"/>
    <s v="Expert"/>
    <n v="5"/>
    <n v="0"/>
    <x v="1"/>
  </r>
  <r>
    <x v="11"/>
    <s v="STU012"/>
    <s v="Cyber Security"/>
    <s v="Computer Networks"/>
    <s v="OSI Model"/>
    <s v="Notes"/>
    <n v="25"/>
    <s v="Beginner"/>
    <n v="1"/>
    <s v="Basic"/>
    <n v="2"/>
    <n v="1"/>
    <x v="0"/>
  </r>
  <r>
    <x v="12"/>
    <s v="STU013"/>
    <s v="Machine Learning"/>
    <s v="Linear Algebra"/>
    <s v="Matrices"/>
    <s v="Writing"/>
    <n v="10"/>
    <s v="Intermediate"/>
    <n v="3"/>
    <s v="Expert"/>
    <n v="5"/>
    <n v="2"/>
    <x v="0"/>
  </r>
  <r>
    <x v="13"/>
    <s v="STU014"/>
    <s v="Artificial Intelligence"/>
    <s v="Database Management"/>
    <s v="ER Diagram"/>
    <s v="Diagram"/>
    <n v="35"/>
    <s v="Advanced"/>
    <n v="4"/>
    <s v="Advanced"/>
    <n v="4"/>
    <n v="0"/>
    <x v="1"/>
  </r>
  <r>
    <x v="14"/>
    <s v="STU015"/>
    <s v="Software Engineering"/>
    <s v="DevOps"/>
    <s v="Docker Basics"/>
    <s v="Listening"/>
    <n v="17"/>
    <s v="Basic"/>
    <n v="2"/>
    <s v="Intermediate"/>
    <n v="3"/>
    <n v="1"/>
    <x v="0"/>
  </r>
  <r>
    <x v="15"/>
    <s v="STU016"/>
    <s v="Data Analytics"/>
    <s v="Data Visualization"/>
    <s v="Visualization Tools"/>
    <s v="Dashboards"/>
    <n v="30"/>
    <s v="Beginner"/>
    <n v="1"/>
    <s v="Expert"/>
    <n v="5"/>
    <n v="4"/>
    <x v="0"/>
  </r>
  <r>
    <x v="16"/>
    <s v="STU017"/>
    <s v="Software Engineering"/>
    <s v="DevOps"/>
    <s v="Docker Basics"/>
    <s v="Listening"/>
    <n v="17"/>
    <s v="Intermediate"/>
    <n v="3"/>
    <s v="Advanced"/>
    <n v="4"/>
    <n v="1"/>
    <x v="0"/>
  </r>
  <r>
    <x v="17"/>
    <s v="STU018"/>
    <s v="Cyber Security"/>
    <s v="Computer Networks"/>
    <s v="OSI Model"/>
    <s v="Notes"/>
    <n v="25"/>
    <s v="Expert"/>
    <n v="5"/>
    <s v="Expert"/>
    <n v="5"/>
    <n v="0"/>
    <x v="1"/>
  </r>
  <r>
    <x v="18"/>
    <s v="STU019"/>
    <s v="Computer Science"/>
    <s v="Data Structures"/>
    <s v="ER Diagram"/>
    <s v="Diagram"/>
    <n v="35"/>
    <s v="Intermediate"/>
    <n v="3"/>
    <s v="Advanced"/>
    <n v="4"/>
    <n v="1"/>
    <x v="0"/>
  </r>
  <r>
    <x v="19"/>
    <s v="STU020"/>
    <s v="Machine Learning"/>
    <s v="Linear Algebra"/>
    <s v="Matrices"/>
    <s v="Writing"/>
    <n v="10"/>
    <s v="Beginner"/>
    <n v="1"/>
    <s v="Basic"/>
    <n v="2"/>
    <n v="1"/>
    <x v="0"/>
  </r>
  <r>
    <x v="20"/>
    <s v="STU021"/>
    <s v="Information Technology"/>
    <s v="Database Management"/>
    <s v="ER Diagram"/>
    <s v="Diagram"/>
    <n v="35"/>
    <s v="Beginner"/>
    <n v="1"/>
    <s v="Advanced"/>
    <n v="4"/>
    <n v="3"/>
    <x v="0"/>
  </r>
  <r>
    <x v="21"/>
    <s v="STU022"/>
    <s v="Data Scientist"/>
    <s v="Big Data Basics"/>
    <s v="Hadoop Architecture"/>
    <s v="Observation"/>
    <n v="15"/>
    <s v="Basic"/>
    <n v="2"/>
    <s v="Intermediate"/>
    <n v="3"/>
    <n v="1"/>
    <x v="0"/>
  </r>
  <r>
    <x v="22"/>
    <s v="STU023"/>
    <s v="Information Technology"/>
    <s v="Database Management"/>
    <s v="ER Diagram"/>
    <s v="Diagram"/>
    <n v="35"/>
    <s v="Advanced"/>
    <n v="4"/>
    <s v="Expert"/>
    <n v="5"/>
    <n v="1"/>
    <x v="0"/>
  </r>
  <r>
    <x v="23"/>
    <s v="STU024"/>
    <s v="Artificial Intelligence"/>
    <s v="Mathematics"/>
    <s v="Probability Basics"/>
    <s v="Videos"/>
    <n v="23"/>
    <s v="Beginner"/>
    <n v="1"/>
    <s v="Beginner"/>
    <n v="1"/>
    <n v="0"/>
    <x v="1"/>
  </r>
  <r>
    <x v="24"/>
    <s v="STU025"/>
    <s v="Data Analytics"/>
    <s v="Data Visualization"/>
    <s v="Visualization Tools"/>
    <s v="Dashboards"/>
    <n v="30"/>
    <s v="Advanced"/>
    <n v="4"/>
    <s v="Expert"/>
    <n v="5"/>
    <n v="1"/>
    <x v="0"/>
  </r>
  <r>
    <x v="25"/>
    <s v="STU026"/>
    <s v="Data Scientist"/>
    <s v="Big Data Basics"/>
    <s v="Hadoop Architecture"/>
    <s v="Observation"/>
    <n v="35"/>
    <s v="Intermediate"/>
    <n v="3"/>
    <s v="Advanced"/>
    <n v="4"/>
    <n v="1"/>
    <x v="0"/>
  </r>
  <r>
    <x v="26"/>
    <s v="STU027"/>
    <s v="Information Technology"/>
    <s v="Database Management"/>
    <s v="ER Diagram"/>
    <s v="Diagram"/>
    <n v="35"/>
    <s v="Beginner"/>
    <n v="1"/>
    <s v="Basic"/>
    <n v="2"/>
    <n v="1"/>
    <x v="0"/>
  </r>
  <r>
    <x v="27"/>
    <s v="STU028"/>
    <s v="Artificial Intelligence"/>
    <s v="Mathematics"/>
    <s v="Probability Basics"/>
    <s v="Videos"/>
    <n v="23"/>
    <s v="Basic"/>
    <n v="2"/>
    <s v="Intermediate"/>
    <n v="3"/>
    <n v="1"/>
    <x v="0"/>
  </r>
  <r>
    <x v="28"/>
    <s v="STU029"/>
    <s v="Machine Learning"/>
    <s v="Linear Algebra"/>
    <s v="Matrices"/>
    <s v="Writing"/>
    <n v="10"/>
    <s v="Advanced"/>
    <n v="4"/>
    <s v="Expert"/>
    <n v="5"/>
    <n v="1"/>
    <x v="0"/>
  </r>
  <r>
    <x v="29"/>
    <s v="STU030"/>
    <s v="Cyber Security"/>
    <s v="Computer Networks"/>
    <s v="OSI Model"/>
    <s v="Notes"/>
    <n v="25"/>
    <s v="Beginner"/>
    <n v="1"/>
    <s v="Advanced"/>
    <n v="4"/>
    <n v="3"/>
    <x v="0"/>
  </r>
  <r>
    <x v="30"/>
    <s v="STU031"/>
    <s v="Software Engineering"/>
    <s v="DevOps"/>
    <s v="Docker Basics"/>
    <s v="Listening"/>
    <n v="17"/>
    <s v="Basic"/>
    <n v="2"/>
    <s v="Expert"/>
    <n v="5"/>
    <n v="3"/>
    <x v="0"/>
  </r>
  <r>
    <x v="31"/>
    <s v="STU032"/>
    <s v="Data Scientist"/>
    <s v="Big Data Basics"/>
    <s v="Hadoop Architecture"/>
    <s v="Observation"/>
    <n v="17"/>
    <s v="Advanced"/>
    <n v="4"/>
    <s v="Expert"/>
    <n v="5"/>
    <n v="1"/>
    <x v="0"/>
  </r>
  <r>
    <x v="32"/>
    <s v="STU033"/>
    <s v="Computer Science"/>
    <s v="Data Structures"/>
    <s v="Arrays"/>
    <s v="Practice"/>
    <n v="20"/>
    <s v="Expert"/>
    <n v="5"/>
    <s v="Expert"/>
    <n v="5"/>
    <n v="0"/>
    <x v="1"/>
  </r>
  <r>
    <x v="33"/>
    <s v="STU034"/>
    <s v="Artificial Intelligence"/>
    <s v="Mathematics"/>
    <s v="Probability Basics"/>
    <s v="Videos"/>
    <n v="23"/>
    <s v="Intermediate"/>
    <n v="3"/>
    <s v="Advanced"/>
    <n v="4"/>
    <n v="1"/>
    <x v="0"/>
  </r>
  <r>
    <x v="34"/>
    <s v="STU035"/>
    <s v="Information Technology"/>
    <s v="Database Management"/>
    <s v="ER Diagram"/>
    <s v="Diagram"/>
    <n v="35"/>
    <s v="Beginner"/>
    <n v="1"/>
    <s v="Intermediate"/>
    <n v="3"/>
    <n v="2"/>
    <x v="0"/>
  </r>
  <r>
    <x v="35"/>
    <s v="STU036"/>
    <s v="Data Analytics"/>
    <s v="Data Visualization"/>
    <s v="Visualization Tools"/>
    <s v="Dashboards"/>
    <n v="30"/>
    <s v="Beginner"/>
    <n v="1"/>
    <s v="Beginner"/>
    <n v="1"/>
    <n v="0"/>
    <x v="1"/>
  </r>
  <r>
    <x v="36"/>
    <s v="STU037"/>
    <s v="Machine Learning"/>
    <s v="Linear Algebra"/>
    <s v="Matrices"/>
    <s v="Writing"/>
    <n v="10"/>
    <s v="Basic"/>
    <n v="2"/>
    <s v="Intermediate"/>
    <n v="3"/>
    <n v="1"/>
    <x v="0"/>
  </r>
  <r>
    <x v="37"/>
    <s v="STU038"/>
    <s v="Cyber Security"/>
    <s v="Computer Networks"/>
    <s v="OSI Model"/>
    <s v="Notes"/>
    <n v="25"/>
    <s v="Intermediate"/>
    <n v="3"/>
    <s v="Advanced"/>
    <n v="4"/>
    <n v="1"/>
    <x v="0"/>
  </r>
  <r>
    <x v="38"/>
    <s v="STU039"/>
    <s v="Data Scientist"/>
    <s v="Big Data Basics"/>
    <s v="Hadoop Architecture"/>
    <s v="Observation"/>
    <n v="15"/>
    <s v="Basic"/>
    <n v="2"/>
    <s v="Expert"/>
    <n v="5"/>
    <n v="3"/>
    <x v="0"/>
  </r>
  <r>
    <x v="39"/>
    <s v="STU040"/>
    <s v="Software Engineering"/>
    <s v="DevOps"/>
    <s v="Docker Basics"/>
    <s v="Listening"/>
    <n v="17"/>
    <s v="Beginner"/>
    <n v="1"/>
    <s v="Basic"/>
    <n v="2"/>
    <n v="1"/>
    <x v="0"/>
  </r>
  <r>
    <x v="40"/>
    <s v="STU041"/>
    <s v="Information Technology"/>
    <s v="Database Management"/>
    <s v="ER Diagram"/>
    <s v="Diagram"/>
    <n v="35"/>
    <s v="Basic"/>
    <n v="2"/>
    <s v="Advanced"/>
    <n v="4"/>
    <n v="2"/>
    <x v="0"/>
  </r>
  <r>
    <x v="41"/>
    <s v="STU042"/>
    <s v="Data Analytics"/>
    <s v="Data Visualization"/>
    <s v="Visualization Tools"/>
    <s v="Dashboards"/>
    <n v="30"/>
    <s v="Intermediate"/>
    <n v="3"/>
    <s v="Intermediate"/>
    <n v="3"/>
    <n v="0"/>
    <x v="1"/>
  </r>
  <r>
    <x v="42"/>
    <s v="STU043"/>
    <s v="Computer Science"/>
    <s v="Data Structures"/>
    <s v="Arrays"/>
    <s v="Practice"/>
    <n v="20"/>
    <s v="Beginner"/>
    <n v="1"/>
    <s v="Advanced"/>
    <n v="4"/>
    <n v="3"/>
    <x v="0"/>
  </r>
  <r>
    <x v="43"/>
    <s v="STU044"/>
    <s v="Artificial Intelligence"/>
    <s v="Mathematics"/>
    <s v="Probability Basics"/>
    <s v="Videos"/>
    <n v="23"/>
    <s v="Expert"/>
    <n v="5"/>
    <s v="Expert"/>
    <n v="5"/>
    <n v="0"/>
    <x v="1"/>
  </r>
  <r>
    <x v="44"/>
    <s v="STU045"/>
    <s v="Cyber Security"/>
    <s v="Computer Networks"/>
    <s v="OSI Model"/>
    <s v="Notes"/>
    <n v="25"/>
    <s v="Intermediate"/>
    <n v="3"/>
    <s v="Advanced"/>
    <n v="4"/>
    <n v="1"/>
    <x v="0"/>
  </r>
  <r>
    <x v="45"/>
    <s v="STU046"/>
    <s v="Computer Science"/>
    <s v="Data Structures"/>
    <s v="Arrays"/>
    <s v="Practice"/>
    <n v="20"/>
    <s v="Basic"/>
    <n v="2"/>
    <s v="Intermediate"/>
    <n v="3"/>
    <n v="1"/>
    <x v="0"/>
  </r>
  <r>
    <x v="46"/>
    <s v="STU047"/>
    <s v="Information Technology"/>
    <s v="Database Management"/>
    <s v="ER Diagram"/>
    <s v="Diagram"/>
    <n v="35"/>
    <s v="Intermediate"/>
    <n v="3"/>
    <s v="Advanced"/>
    <n v="4"/>
    <n v="1"/>
    <x v="0"/>
  </r>
  <r>
    <x v="47"/>
    <s v="STU048"/>
    <s v="Cyber Security"/>
    <s v="Data Structures"/>
    <s v="Arrays"/>
    <s v="Practice"/>
    <n v="35"/>
    <s v="Beginner"/>
    <n v="1"/>
    <s v="Basic"/>
    <n v="2"/>
    <n v="1"/>
    <x v="0"/>
  </r>
  <r>
    <x v="48"/>
    <s v="STU049"/>
    <s v="Machine Learning"/>
    <s v="Linear Algebra"/>
    <s v="Matrices"/>
    <s v="Writing"/>
    <n v="10"/>
    <s v="Basic"/>
    <n v="2"/>
    <s v="Intermediate"/>
    <n v="3"/>
    <n v="1"/>
    <x v="0"/>
  </r>
  <r>
    <x v="49"/>
    <s v="STU050"/>
    <s v="Software Engineering"/>
    <s v="DevOps"/>
    <s v="Docker Basics"/>
    <s v="Listening"/>
    <n v="17"/>
    <s v="Advanced"/>
    <n v="4"/>
    <s v="Expert"/>
    <n v="5"/>
    <n v="1"/>
    <x v="0"/>
  </r>
  <r>
    <x v="50"/>
    <s v="STU051"/>
    <s v="Artificial Intelligence"/>
    <s v="Mathematics"/>
    <s v="Probability Basics"/>
    <s v="Videos"/>
    <n v="23"/>
    <s v="Beginner"/>
    <n v="1"/>
    <s v="Basic"/>
    <n v="2"/>
    <n v="1"/>
    <x v="0"/>
  </r>
  <r>
    <x v="51"/>
    <s v="STU052"/>
    <s v="Cyber Security"/>
    <s v="Computer Networks"/>
    <s v="OSI Model"/>
    <s v="Notes"/>
    <n v="23"/>
    <s v="Intermediate"/>
    <n v="3"/>
    <s v="Advanced"/>
    <n v="4"/>
    <n v="1"/>
    <x v="0"/>
  </r>
  <r>
    <x v="52"/>
    <s v="STU053"/>
    <s v="Information Technology"/>
    <s v="Database Management"/>
    <s v="ER Diagram"/>
    <s v="Diagram"/>
    <n v="35"/>
    <s v="Basic"/>
    <n v="2"/>
    <s v="Intermediate"/>
    <n v="3"/>
    <n v="1"/>
    <x v="0"/>
  </r>
  <r>
    <x v="53"/>
    <s v="STU054"/>
    <s v="Data Scientist"/>
    <s v="Big Data Basics"/>
    <s v="Hadoop Architecture"/>
    <s v="Observation"/>
    <n v="15"/>
    <s v="Beginner"/>
    <n v="1"/>
    <s v="Advanced"/>
    <n v="4"/>
    <n v="3"/>
    <x v="0"/>
  </r>
  <r>
    <x v="54"/>
    <s v="STU055"/>
    <s v="Software Engineering"/>
    <s v="Data Structures"/>
    <s v="Arrays"/>
    <s v="Practice"/>
    <n v="20"/>
    <s v="Intermediate"/>
    <n v="3"/>
    <s v="Expert"/>
    <n v="5"/>
    <n v="2"/>
    <x v="0"/>
  </r>
  <r>
    <x v="55"/>
    <s v="STU056"/>
    <s v="Artificial Intelligence"/>
    <s v="Mathematics"/>
    <s v="Probability Basics"/>
    <s v="Videos"/>
    <n v="23"/>
    <s v="Basic"/>
    <n v="2"/>
    <s v="Intermediate"/>
    <n v="3"/>
    <n v="1"/>
    <x v="0"/>
  </r>
  <r>
    <x v="56"/>
    <s v="STU057"/>
    <s v="Data Analytics"/>
    <s v="Data Visualization"/>
    <s v="Visualization Tools"/>
    <s v="Dashboards"/>
    <n v="30"/>
    <s v="Advanced"/>
    <n v="4"/>
    <s v="Basic"/>
    <n v="2"/>
    <n v="-2"/>
    <x v="2"/>
  </r>
  <r>
    <x v="57"/>
    <s v="STU058"/>
    <s v="Machine Learning"/>
    <s v="Linear Algebra"/>
    <s v="Matrices"/>
    <s v="Writing"/>
    <n v="10"/>
    <s v="Beginner"/>
    <n v="1"/>
    <s v="Advanced"/>
    <n v="4"/>
    <n v="3"/>
    <x v="0"/>
  </r>
  <r>
    <x v="58"/>
    <s v="STU059"/>
    <s v="Data Scientist"/>
    <s v="Big Data Basics"/>
    <s v="Hadoop Architecture"/>
    <s v="Observation"/>
    <n v="15"/>
    <s v="Expert"/>
    <n v="5"/>
    <s v="Expert"/>
    <n v="5"/>
    <n v="0"/>
    <x v="1"/>
  </r>
  <r>
    <x v="59"/>
    <s v="STU060"/>
    <s v="Information Technology"/>
    <s v="Database Management"/>
    <s v="ER Diagram"/>
    <s v="Diagram"/>
    <n v="35"/>
    <s v="Basic"/>
    <n v="2"/>
    <s v="Advanced"/>
    <n v="4"/>
    <n v="2"/>
    <x v="0"/>
  </r>
  <r>
    <x v="60"/>
    <s v="STU061"/>
    <s v="Cyber Security"/>
    <s v="Computer Networks"/>
    <s v="OSI Model"/>
    <s v="Notes"/>
    <n v="25"/>
    <s v="Beginner"/>
    <n v="1"/>
    <s v="Intermediate"/>
    <n v="3"/>
    <n v="2"/>
    <x v="0"/>
  </r>
  <r>
    <x v="61"/>
    <s v="STU062"/>
    <s v="Computer Science"/>
    <s v="Data Structures"/>
    <s v="Arrays"/>
    <s v="Practice"/>
    <n v="20"/>
    <s v="Advanced"/>
    <n v="4"/>
    <s v="Expert"/>
    <n v="5"/>
    <n v="1"/>
    <x v="0"/>
  </r>
  <r>
    <x v="62"/>
    <s v="STU063"/>
    <s v="Information Technology"/>
    <s v="Database Management"/>
    <s v="ER Diagram"/>
    <s v="Diagram"/>
    <n v="35"/>
    <s v="Intermediate"/>
    <n v="3"/>
    <s v="Basic"/>
    <n v="2"/>
    <n v="-1"/>
    <x v="2"/>
  </r>
  <r>
    <x v="63"/>
    <s v="STU064"/>
    <s v="Cyber Security"/>
    <s v="Computer Networks"/>
    <s v="OSI Model"/>
    <s v="Notes"/>
    <n v="25"/>
    <s v="Beginner"/>
    <n v="1"/>
    <s v="Advanced"/>
    <n v="4"/>
    <n v="3"/>
    <x v="0"/>
  </r>
  <r>
    <x v="64"/>
    <s v="STU065"/>
    <s v="Data Analytics"/>
    <s v="Data Visualization"/>
    <s v="Visualization Tools"/>
    <s v="Dashboards"/>
    <n v="20"/>
    <s v="Advanced"/>
    <n v="4"/>
    <s v="Expert"/>
    <n v="5"/>
    <n v="1"/>
    <x v="0"/>
  </r>
  <r>
    <x v="65"/>
    <s v="STU066"/>
    <s v="Software Engineering"/>
    <s v="DevOps"/>
    <s v="Docker Basics"/>
    <s v="Listening"/>
    <n v="17"/>
    <s v="Intermediate"/>
    <n v="3"/>
    <s v="Intermediate"/>
    <n v="3"/>
    <n v="0"/>
    <x v="1"/>
  </r>
  <r>
    <x v="66"/>
    <s v="STU067"/>
    <s v="Data Scientist"/>
    <s v="Big Data Basics"/>
    <s v="Hadoop Architecture"/>
    <s v="Observation"/>
    <n v="15"/>
    <s v="Basic"/>
    <n v="2"/>
    <s v="Expert"/>
    <n v="5"/>
    <n v="3"/>
    <x v="0"/>
  </r>
  <r>
    <x v="67"/>
    <s v="STU068"/>
    <s v="Artificial Intelligence"/>
    <s v="Mathematics"/>
    <s v="Probability Basics"/>
    <s v="Videos"/>
    <n v="23"/>
    <s v="Beginner"/>
    <n v="1"/>
    <s v="Beginner"/>
    <n v="1"/>
    <n v="0"/>
    <x v="1"/>
  </r>
  <r>
    <x v="68"/>
    <s v="STU069"/>
    <s v="Machine Learning"/>
    <s v="Linear Algebra"/>
    <s v="Matrices"/>
    <s v="Writing"/>
    <n v="10"/>
    <s v="Intermediate"/>
    <n v="3"/>
    <s v="Advanced"/>
    <n v="4"/>
    <n v="1"/>
    <x v="0"/>
  </r>
  <r>
    <x v="69"/>
    <s v="STU070"/>
    <s v="Cyber Security"/>
    <s v="Computer Networks"/>
    <s v="OSI Model"/>
    <s v="Notes"/>
    <n v="25"/>
    <s v="Beginner"/>
    <n v="1"/>
    <s v="Intermediate"/>
    <n v="3"/>
    <n v="2"/>
    <x v="0"/>
  </r>
  <r>
    <x v="70"/>
    <s v="STU071"/>
    <s v="Information Technology"/>
    <s v="Database Management"/>
    <s v="ER Diagram"/>
    <s v="Diagram"/>
    <n v="35"/>
    <s v="Intermediate"/>
    <n v="3"/>
    <s v="Advanced"/>
    <n v="4"/>
    <n v="1"/>
    <x v="0"/>
  </r>
  <r>
    <x v="71"/>
    <s v="STU072"/>
    <s v="Machine Learning"/>
    <s v="Linear Algebra"/>
    <s v="Matrices"/>
    <s v="Writing"/>
    <n v="10"/>
    <s v="Advanced"/>
    <n v="4"/>
    <s v="Expert"/>
    <n v="5"/>
    <n v="1"/>
    <x v="0"/>
  </r>
  <r>
    <x v="72"/>
    <s v="STU073"/>
    <s v="Data Analytics"/>
    <s v="Data Visualization"/>
    <s v="Visualization Tools"/>
    <s v="Dashboards"/>
    <n v="30"/>
    <s v="Expert"/>
    <n v="5"/>
    <s v="Expert"/>
    <n v="5"/>
    <n v="0"/>
    <x v="1"/>
  </r>
  <r>
    <x v="73"/>
    <s v="STU074"/>
    <s v="Software Engineering"/>
    <s v="DevOps"/>
    <s v="Docker Basics"/>
    <s v="Listening"/>
    <n v="17"/>
    <s v="Basic"/>
    <n v="2"/>
    <s v="Beginner"/>
    <n v="1"/>
    <n v="-1"/>
    <x v="2"/>
  </r>
  <r>
    <x v="74"/>
    <s v="STU075"/>
    <s v="Computer Science"/>
    <s v="Data Structures"/>
    <s v="Arrays"/>
    <s v="Practice"/>
    <n v="20"/>
    <s v="Expert"/>
    <n v="5"/>
    <s v="Expert"/>
    <n v="5"/>
    <n v="0"/>
    <x v="1"/>
  </r>
  <r>
    <x v="75"/>
    <s v="STU076"/>
    <s v="Data Scientist"/>
    <s v="Big Data Basics"/>
    <s v="Hadoop Architecture"/>
    <s v="Observation"/>
    <n v="15"/>
    <s v="Advanced"/>
    <n v="4"/>
    <s v="Expert"/>
    <n v="5"/>
    <n v="1"/>
    <x v="0"/>
  </r>
  <r>
    <x v="76"/>
    <s v="STU077"/>
    <s v="Artificial Intelligence"/>
    <s v="Mathematics"/>
    <s v="Probability Basics"/>
    <s v="Videos"/>
    <n v="23"/>
    <s v="Beginner"/>
    <n v="1"/>
    <s v="Basic"/>
    <n v="2"/>
    <n v="1"/>
    <x v="0"/>
  </r>
  <r>
    <x v="77"/>
    <s v="STU078"/>
    <s v="Cyber Security"/>
    <s v="Computer Networks"/>
    <s v="OSI Model"/>
    <s v="Notes"/>
    <n v="25"/>
    <s v="Basic"/>
    <n v="2"/>
    <s v="Advanced"/>
    <n v="4"/>
    <n v="2"/>
    <x v="0"/>
  </r>
  <r>
    <x v="78"/>
    <s v="STU079"/>
    <s v="Information Technology"/>
    <s v="Database Management"/>
    <s v="ER Diagram"/>
    <s v="Diagram"/>
    <n v="35"/>
    <s v="Advanced"/>
    <n v="4"/>
    <s v="Intermediate"/>
    <n v="3"/>
    <n v="-1"/>
    <x v="2"/>
  </r>
  <r>
    <x v="79"/>
    <s v="STU080"/>
    <s v="Computer Science"/>
    <s v="Data Structures"/>
    <s v="Array"/>
    <s v="Practice"/>
    <n v="20"/>
    <s v="Expert"/>
    <n v="5"/>
    <s v="Expert"/>
    <n v="5"/>
    <n v="0"/>
    <x v="1"/>
  </r>
  <r>
    <x v="80"/>
    <s v="STU081"/>
    <s v="Data Analytics"/>
    <s v="Data Visualization"/>
    <s v="Visualization Tools"/>
    <s v="Dashboards"/>
    <n v="30"/>
    <s v="Beginner"/>
    <n v="1"/>
    <s v="Basic"/>
    <n v="2"/>
    <n v="1"/>
    <x v="0"/>
  </r>
  <r>
    <x v="81"/>
    <s v="STU082"/>
    <s v="Data Scientist"/>
    <s v="Big Data Basics"/>
    <s v="Hadoop Architecture"/>
    <s v="Observation"/>
    <n v="15"/>
    <s v="Intermediate"/>
    <n v="3"/>
    <s v="Intermediate"/>
    <n v="3"/>
    <n v="0"/>
    <x v="1"/>
  </r>
  <r>
    <x v="82"/>
    <s v="STU083"/>
    <s v="Artificial Intelligence"/>
    <s v="Mathematics"/>
    <s v="Probability Basics"/>
    <s v="Videos"/>
    <n v="23"/>
    <s v="Basic"/>
    <n v="2"/>
    <s v="Advanced"/>
    <n v="4"/>
    <n v="2"/>
    <x v="0"/>
  </r>
  <r>
    <x v="83"/>
    <s v="STU084"/>
    <s v="Machine Learning"/>
    <s v="Linear Algebra"/>
    <s v="Matrices"/>
    <s v="Writing"/>
    <n v="10"/>
    <s v="Basic"/>
    <n v="2"/>
    <s v="Expert"/>
    <n v="5"/>
    <n v="3"/>
    <x v="0"/>
  </r>
  <r>
    <x v="84"/>
    <s v="STU085"/>
    <s v="Computer Science"/>
    <s v="Data Structures"/>
    <s v="Arrays"/>
    <s v="Practice"/>
    <n v="20"/>
    <s v="Beginner"/>
    <n v="1"/>
    <s v="Beginner"/>
    <n v="1"/>
    <n v="0"/>
    <x v="1"/>
  </r>
  <r>
    <x v="85"/>
    <s v="STU086"/>
    <s v="Information Technology"/>
    <s v="Database Management"/>
    <s v="ER Diagram"/>
    <s v="Diagram"/>
    <n v="35"/>
    <s v="Intermediate"/>
    <n v="3"/>
    <s v="Advanced"/>
    <n v="4"/>
    <n v="1"/>
    <x v="0"/>
  </r>
  <r>
    <x v="86"/>
    <s v="STU087"/>
    <s v="Software Engineering"/>
    <s v="DevOps"/>
    <s v="Docker Basics"/>
    <s v="Listening"/>
    <n v="17"/>
    <s v="Intermediate"/>
    <n v="3"/>
    <s v="Intermediate"/>
    <n v="3"/>
    <n v="0"/>
    <x v="1"/>
  </r>
  <r>
    <x v="87"/>
    <s v="STU088"/>
    <s v="Data Analytics"/>
    <s v="Data Visualization"/>
    <s v="Visualization Tools"/>
    <s v="Dashboards"/>
    <n v="30"/>
    <s v="Beginner"/>
    <n v="1"/>
    <s v="Basic"/>
    <n v="2"/>
    <n v="1"/>
    <x v="0"/>
  </r>
  <r>
    <x v="88"/>
    <s v="STU089"/>
    <s v="Cyber Security"/>
    <s v="Computer Networks"/>
    <s v="OSI Model"/>
    <s v="Notes"/>
    <n v="25"/>
    <s v="Advanced"/>
    <n v="4"/>
    <s v="Expert"/>
    <n v="5"/>
    <n v="1"/>
    <x v="0"/>
  </r>
  <r>
    <x v="89"/>
    <s v="STU090"/>
    <s v="Information Technology"/>
    <s v="Database Management"/>
    <s v="ER Diagram"/>
    <s v="Diagram"/>
    <n v="35"/>
    <s v="Basic"/>
    <n v="2"/>
    <s v="Intermediate"/>
    <n v="3"/>
    <n v="1"/>
    <x v="0"/>
  </r>
  <r>
    <x v="90"/>
    <s v="STU091"/>
    <s v="Data Scientist"/>
    <s v="Big Data Basics"/>
    <s v="Hadoop Architecture"/>
    <s v="Observation"/>
    <n v="15"/>
    <s v="Advanced"/>
    <n v="4"/>
    <s v="Expert"/>
    <n v="5"/>
    <n v="1"/>
    <x v="0"/>
  </r>
  <r>
    <x v="91"/>
    <s v="STU092"/>
    <s v="Computer Science"/>
    <s v="Data Structures"/>
    <s v="Arrays"/>
    <s v="Practice"/>
    <n v="20"/>
    <s v="Beginner"/>
    <n v="1"/>
    <s v="Basic"/>
    <n v="2"/>
    <n v="1"/>
    <x v="0"/>
  </r>
  <r>
    <x v="92"/>
    <s v="STU093"/>
    <s v="Artificial Intelligence"/>
    <s v="Mathematics"/>
    <s v="Probability Basics"/>
    <s v="Videos"/>
    <n v="23"/>
    <s v="Basic"/>
    <n v="2"/>
    <s v="Intermediate"/>
    <n v="3"/>
    <n v="1"/>
    <x v="0"/>
  </r>
  <r>
    <x v="93"/>
    <s v="STU094"/>
    <s v="Machine Learning"/>
    <s v="Linear Algebra"/>
    <s v="Matrices"/>
    <s v="Writing"/>
    <n v="10"/>
    <s v="Expert"/>
    <n v="5"/>
    <s v="Expert"/>
    <n v="5"/>
    <n v="0"/>
    <x v="1"/>
  </r>
  <r>
    <x v="94"/>
    <s v="STU095"/>
    <s v="Software Engineering"/>
    <s v="DevOps"/>
    <s v="Docker Basics"/>
    <s v="Listening"/>
    <n v="17"/>
    <s v="Basic"/>
    <n v="2"/>
    <s v="Advanced"/>
    <n v="4"/>
    <n v="2"/>
    <x v="0"/>
  </r>
  <r>
    <x v="95"/>
    <s v="STU096"/>
    <s v="Data Scientist"/>
    <s v="Big Data Basics"/>
    <s v="Hadoop Architecture"/>
    <s v="Observation"/>
    <n v="15"/>
    <s v="Beginner"/>
    <n v="1"/>
    <s v="Expert"/>
    <n v="5"/>
    <n v="4"/>
    <x v="0"/>
  </r>
  <r>
    <x v="96"/>
    <s v="STU097"/>
    <s v="Artificial Intelligence"/>
    <s v="Mathematics"/>
    <s v="Probability Basics"/>
    <s v="Videos"/>
    <n v="23"/>
    <s v="Advanced"/>
    <n v="4"/>
    <s v="Expert"/>
    <n v="5"/>
    <n v="1"/>
    <x v="0"/>
  </r>
  <r>
    <x v="97"/>
    <s v="STU098"/>
    <s v="Data Analytics"/>
    <s v="Data Visualization"/>
    <s v="Visualization Tools"/>
    <s v="Dashboards"/>
    <n v="30"/>
    <s v="Basic"/>
    <n v="2"/>
    <s v="Intermediate"/>
    <n v="3"/>
    <n v="1"/>
    <x v="0"/>
  </r>
  <r>
    <x v="98"/>
    <s v="STU099"/>
    <s v="Machine Learning"/>
    <s v="Linear Algebra"/>
    <s v="Matrices"/>
    <s v="Writing"/>
    <n v="10"/>
    <s v="Advanced"/>
    <n v="4"/>
    <s v="Advanced"/>
    <n v="4"/>
    <n v="0"/>
    <x v="1"/>
  </r>
  <r>
    <x v="99"/>
    <s v="STU100"/>
    <s v="Information Technology"/>
    <s v="Database Management"/>
    <s v="ER Diagram"/>
    <s v="Diagram"/>
    <n v="35"/>
    <s v="Advanced"/>
    <n v="4"/>
    <s v="Expert"/>
    <n v="5"/>
    <n v="1"/>
    <x v="0"/>
  </r>
  <r>
    <x v="100"/>
    <s v="STU101"/>
    <s v="Cyber Security"/>
    <s v="Computer Networks"/>
    <s v="OSI Model"/>
    <s v="Notes"/>
    <n v="25"/>
    <s v="Basic"/>
    <n v="2"/>
    <s v="Intermediate"/>
    <n v="3"/>
    <n v="1"/>
    <x v="0"/>
  </r>
  <r>
    <x v="101"/>
    <s v="STU102"/>
    <s v="Computer Science"/>
    <s v="Data Structures"/>
    <s v="Arrays"/>
    <s v="Practice"/>
    <n v="20"/>
    <s v="Beginner"/>
    <n v="1"/>
    <s v="Basic"/>
    <n v="2"/>
    <n v="1"/>
    <x v="0"/>
  </r>
  <r>
    <x v="102"/>
    <s v="STU103"/>
    <s v="Machine Learning"/>
    <s v="Linear Algebra"/>
    <s v="Matrices"/>
    <s v="Writing"/>
    <n v="10"/>
    <s v="Advanced"/>
    <n v="4"/>
    <s v="Expert"/>
    <n v="5"/>
    <n v="1"/>
    <x v="0"/>
  </r>
  <r>
    <x v="103"/>
    <s v="STU104"/>
    <s v="Artificial Intelligence"/>
    <s v="Mathematics"/>
    <s v="Probability Basics"/>
    <s v="Videos"/>
    <n v="23"/>
    <s v="Intermediate"/>
    <n v="3"/>
    <s v="Advanced"/>
    <n v="4"/>
    <n v="1"/>
    <x v="0"/>
  </r>
  <r>
    <x v="104"/>
    <s v="STU105"/>
    <s v="Software Engineering"/>
    <s v="DevOps"/>
    <s v="Docker Basics"/>
    <s v="Listening"/>
    <n v="17"/>
    <s v="Advanced"/>
    <n v="4"/>
    <s v="Intermediate"/>
    <n v="3"/>
    <n v="-1"/>
    <x v="2"/>
  </r>
  <r>
    <x v="105"/>
    <s v="STU106"/>
    <s v="Data Analytics"/>
    <s v="Data Visualization"/>
    <s v="Visualization Tools"/>
    <s v="Dashboards"/>
    <n v="30"/>
    <s v="Beginner"/>
    <n v="1"/>
    <s v="Advanced"/>
    <n v="4"/>
    <n v="3"/>
    <x v="0"/>
  </r>
  <r>
    <x v="106"/>
    <s v="STU107"/>
    <s v="Information Technology"/>
    <s v="Database Management"/>
    <s v="ER Diagram"/>
    <s v="Diagram"/>
    <n v="35"/>
    <s v="Basic"/>
    <n v="2"/>
    <s v="Expert"/>
    <n v="5"/>
    <n v="3"/>
    <x v="0"/>
  </r>
  <r>
    <x v="107"/>
    <s v="STU108"/>
    <s v="Artificial Intelligence"/>
    <s v="Mathematics"/>
    <s v="Probability Basics"/>
    <s v="Videos"/>
    <n v="23"/>
    <s v="Intermediate"/>
    <n v="3"/>
    <s v="Advanced"/>
    <n v="4"/>
    <n v="1"/>
    <x v="0"/>
  </r>
  <r>
    <x v="108"/>
    <s v="STU109"/>
    <s v="Data Scientist"/>
    <s v="Big Data Basics"/>
    <s v="Hadoop Architecture"/>
    <s v="Observation"/>
    <n v="15"/>
    <s v="Expert"/>
    <n v="5"/>
    <s v="Expert"/>
    <n v="5"/>
    <n v="0"/>
    <x v="1"/>
  </r>
  <r>
    <x v="109"/>
    <s v="STU110"/>
    <s v="Software Engineering"/>
    <s v="DevOps"/>
    <s v="Docker Basics"/>
    <s v="Listening"/>
    <n v="17"/>
    <s v="Advanced"/>
    <n v="4"/>
    <s v="Expert"/>
    <n v="5"/>
    <n v="1"/>
    <x v="0"/>
  </r>
  <r>
    <x v="110"/>
    <s v="STU111"/>
    <s v="Cyber Security"/>
    <s v="Computer Networks"/>
    <s v="OSI Model"/>
    <s v="Notes"/>
    <n v="25"/>
    <s v="Basic"/>
    <n v="2"/>
    <s v="Intermediate"/>
    <n v="3"/>
    <n v="1"/>
    <x v="0"/>
  </r>
  <r>
    <x v="111"/>
    <s v="STU112"/>
    <s v="Artificial Intelligence"/>
    <s v="Mathematics"/>
    <s v="Probability Basics"/>
    <s v="Videos"/>
    <n v="23"/>
    <s v="Beginner"/>
    <n v="1"/>
    <s v="Basic"/>
    <n v="2"/>
    <n v="1"/>
    <x v="0"/>
  </r>
  <r>
    <x v="112"/>
    <s v="STU113"/>
    <s v="Machine Learning"/>
    <s v="Linear Algebra"/>
    <s v="Matrices"/>
    <s v="Writing"/>
    <n v="10"/>
    <s v="Advanced"/>
    <n v="4"/>
    <s v="Intermediate"/>
    <n v="3"/>
    <n v="-1"/>
    <x v="2"/>
  </r>
  <r>
    <x v="113"/>
    <s v="STU114"/>
    <s v="Information Technology"/>
    <s v="Database Management"/>
    <s v="ER Diagram"/>
    <s v="Diagram"/>
    <n v="35"/>
    <s v="Expert"/>
    <n v="5"/>
    <s v="Expert"/>
    <n v="5"/>
    <n v="0"/>
    <x v="1"/>
  </r>
  <r>
    <x v="114"/>
    <s v="STU115"/>
    <s v="Data Analytics"/>
    <s v="Data Visualization"/>
    <s v="Visualization Tools"/>
    <s v="Dashboards"/>
    <n v="30"/>
    <s v="Basic"/>
    <n v="2"/>
    <s v="Advanced"/>
    <n v="4"/>
    <n v="2"/>
    <x v="0"/>
  </r>
  <r>
    <x v="115"/>
    <s v="STU116"/>
    <s v="Software Engineering"/>
    <s v="DevOps"/>
    <s v="Docker Basics"/>
    <s v="Listening"/>
    <n v="17"/>
    <s v="Beginner"/>
    <n v="1"/>
    <s v="Basic"/>
    <n v="2"/>
    <n v="1"/>
    <x v="0"/>
  </r>
  <r>
    <x v="116"/>
    <s v="STU117"/>
    <s v="Machine Learning"/>
    <s v="Linear Algebra"/>
    <s v="Matrices"/>
    <s v="Writing"/>
    <n v="10"/>
    <s v="Intermediate"/>
    <n v="3"/>
    <s v="Intermediate"/>
    <n v="3"/>
    <n v="0"/>
    <x v="1"/>
  </r>
  <r>
    <x v="117"/>
    <s v="STU118"/>
    <s v="Artificial Intelligence"/>
    <s v="Mathematics"/>
    <s v="Probability Basics"/>
    <s v="Videos"/>
    <n v="23"/>
    <s v="Basic"/>
    <n v="2"/>
    <s v="Expert"/>
    <n v="5"/>
    <n v="3"/>
    <x v="0"/>
  </r>
  <r>
    <x v="118"/>
    <s v="STU119"/>
    <s v="Software Engineering"/>
    <s v="Computer Networks"/>
    <s v="OSI Model"/>
    <s v="Notes"/>
    <n v="25"/>
    <s v="Beginner"/>
    <n v="1"/>
    <s v="Beginner"/>
    <n v="1"/>
    <n v="0"/>
    <x v="1"/>
  </r>
  <r>
    <x v="119"/>
    <s v="STU120"/>
    <s v="Computer Science"/>
    <s v="Data Structures"/>
    <s v="Arrays"/>
    <s v="Practice"/>
    <n v="20"/>
    <s v="Basic"/>
    <n v="2"/>
    <s v="Intermediate"/>
    <n v="3"/>
    <n v="1"/>
    <x v="0"/>
  </r>
  <r>
    <x v="120"/>
    <s v="STU121"/>
    <s v="Information Technology"/>
    <s v="Database Management"/>
    <s v="ER Diagram"/>
    <s v="Diagram"/>
    <n v="35"/>
    <s v="Beginner"/>
    <n v="1"/>
    <s v="Advanced"/>
    <n v="4"/>
    <n v="3"/>
    <x v="0"/>
  </r>
  <r>
    <x v="121"/>
    <s v="STU122"/>
    <s v="Data Analytics"/>
    <s v="Data Visualization"/>
    <s v="Visualization Tools"/>
    <s v="Dashboards"/>
    <n v="30"/>
    <s v="Intermediate"/>
    <n v="3"/>
    <s v="Expert"/>
    <n v="5"/>
    <n v="2"/>
    <x v="0"/>
  </r>
  <r>
    <x v="122"/>
    <s v="STU123"/>
    <s v="Machine Learning"/>
    <s v="Linear Algebra"/>
    <s v="Matrices"/>
    <s v="Writing"/>
    <n v="10"/>
    <s v="Basic"/>
    <n v="2"/>
    <s v="Basic"/>
    <n v="2"/>
    <n v="0"/>
    <x v="1"/>
  </r>
  <r>
    <x v="123"/>
    <s v="STU124"/>
    <s v="Artificial Intelligence"/>
    <s v="Mathematics"/>
    <s v="Probability Basics"/>
    <s v="Videos"/>
    <n v="23"/>
    <s v="Expert"/>
    <n v="5"/>
    <s v="Expert"/>
    <n v="5"/>
    <n v="0"/>
    <x v="1"/>
  </r>
  <r>
    <x v="124"/>
    <s v="STU125"/>
    <s v="Cyber Security"/>
    <s v="Computer Networks"/>
    <s v="OSI Model"/>
    <s v="Notes"/>
    <n v="25"/>
    <s v="Basic"/>
    <n v="2"/>
    <s v="Advanced"/>
    <n v="4"/>
    <n v="2"/>
    <x v="0"/>
  </r>
  <r>
    <x v="125"/>
    <s v="STU126"/>
    <s v="Software Engineering"/>
    <s v="DevOps"/>
    <s v="Docker Basics"/>
    <s v="Listening"/>
    <n v="17"/>
    <s v="Beginner"/>
    <n v="1"/>
    <s v="Basic"/>
    <n v="2"/>
    <n v="1"/>
    <x v="0"/>
  </r>
  <r>
    <x v="126"/>
    <s v="STU127"/>
    <s v="Data Scientist"/>
    <s v="Big Data Basics"/>
    <s v="Hadoop Architecture"/>
    <s v="Observation"/>
    <n v="15"/>
    <s v="Basic"/>
    <n v="2"/>
    <s v="Intermediate"/>
    <n v="3"/>
    <n v="1"/>
    <x v="0"/>
  </r>
  <r>
    <x v="127"/>
    <s v="STU128"/>
    <s v="Computer Science"/>
    <s v="Data Structures"/>
    <s v="Arrays"/>
    <s v="Practice"/>
    <n v="20"/>
    <s v="Intermediate"/>
    <n v="3"/>
    <s v="Advanced"/>
    <n v="4"/>
    <n v="1"/>
    <x v="0"/>
  </r>
  <r>
    <x v="128"/>
    <s v="STU129"/>
    <s v="Cyber Security"/>
    <s v="Computer Networks"/>
    <s v="OSI Model"/>
    <s v="Notes"/>
    <n v="25"/>
    <s v="Advanced"/>
    <n v="4"/>
    <s v="Expert"/>
    <n v="5"/>
    <n v="1"/>
    <x v="0"/>
  </r>
  <r>
    <x v="129"/>
    <s v="STU130"/>
    <s v="Software Engineering"/>
    <s v="DevOps"/>
    <s v="Docker Basics"/>
    <s v="Listening"/>
    <n v="17"/>
    <s v="Beginner"/>
    <n v="1"/>
    <s v="Basic"/>
    <n v="2"/>
    <n v="1"/>
    <x v="0"/>
  </r>
  <r>
    <x v="130"/>
    <s v="STU131"/>
    <s v="Machine Learning"/>
    <s v="Linear Algebra"/>
    <s v="Matrices"/>
    <s v="Writing"/>
    <n v="10"/>
    <s v="Intermediate"/>
    <n v="3"/>
    <s v="Advanced"/>
    <n v="4"/>
    <n v="1"/>
    <x v="0"/>
  </r>
  <r>
    <x v="131"/>
    <s v="STU132"/>
    <s v="Information Technology"/>
    <s v="Database Management"/>
    <s v="ER Diagram"/>
    <s v="Diagram"/>
    <n v="35"/>
    <s v="Advanced"/>
    <n v="4"/>
    <s v="Expert"/>
    <n v="5"/>
    <n v="1"/>
    <x v="0"/>
  </r>
  <r>
    <x v="132"/>
    <s v="STU133"/>
    <s v="Data Analytics"/>
    <s v="Data Visualization"/>
    <s v="Visualization Tools"/>
    <s v="Dashboards"/>
    <n v="30"/>
    <s v="Basic"/>
    <n v="2"/>
    <s v="Intermediate"/>
    <n v="3"/>
    <n v="1"/>
    <x v="0"/>
  </r>
  <r>
    <x v="133"/>
    <s v="STU134"/>
    <s v="Computer Science"/>
    <s v="Data Structures"/>
    <s v="Arrays"/>
    <s v="Practice"/>
    <n v="20"/>
    <s v="Expert"/>
    <n v="5"/>
    <s v="Expert"/>
    <n v="5"/>
    <n v="0"/>
    <x v="1"/>
  </r>
  <r>
    <x v="134"/>
    <s v="STU135"/>
    <s v="Cyber Security"/>
    <s v="Computer Networks"/>
    <s v="OSI Model"/>
    <s v="Notes"/>
    <n v="25"/>
    <s v="Intermediate"/>
    <n v="3"/>
    <s v="Advanced"/>
    <n v="4"/>
    <n v="1"/>
    <x v="0"/>
  </r>
  <r>
    <x v="135"/>
    <s v="STU136"/>
    <s v="Data Scientist"/>
    <s v="Big Data Basics"/>
    <s v="Hadoop Architecture"/>
    <s v="Observation"/>
    <n v="15"/>
    <s v="Beginner"/>
    <n v="1"/>
    <s v="Intermediate"/>
    <n v="3"/>
    <n v="2"/>
    <x v="0"/>
  </r>
  <r>
    <x v="136"/>
    <s v="STU137"/>
    <s v="Software Engineering"/>
    <s v="DevOps"/>
    <s v="Docker Basics"/>
    <s v="Listening"/>
    <n v="17"/>
    <s v="Basic"/>
    <n v="2"/>
    <s v="Expert"/>
    <n v="5"/>
    <n v="3"/>
    <x v="0"/>
  </r>
  <r>
    <x v="137"/>
    <s v="STU138"/>
    <s v="Cyber Security"/>
    <s v="Computer Networks"/>
    <s v="OSI Model"/>
    <s v="Notes"/>
    <n v="25"/>
    <s v="Beginner"/>
    <n v="1"/>
    <s v="Basic"/>
    <n v="2"/>
    <n v="1"/>
    <x v="0"/>
  </r>
  <r>
    <x v="138"/>
    <s v="STU139"/>
    <s v="Machine Learning"/>
    <s v="Linear Algebra"/>
    <s v="Matrices"/>
    <s v="Writing"/>
    <n v="10"/>
    <s v="Intermediate"/>
    <n v="3"/>
    <s v="Advanced"/>
    <n v="4"/>
    <n v="1"/>
    <x v="0"/>
  </r>
  <r>
    <x v="139"/>
    <s v="STU140"/>
    <s v="Artificial Intelligence"/>
    <s v="Mathematics"/>
    <s v="Probability Basics"/>
    <s v="Videos"/>
    <n v="23"/>
    <s v="Advanced"/>
    <n v="4"/>
    <s v="Expert"/>
    <n v="5"/>
    <n v="1"/>
    <x v="0"/>
  </r>
  <r>
    <x v="140"/>
    <s v="STU141"/>
    <s v="Data Analytics"/>
    <s v="Data Visualization"/>
    <s v="Visualization Tools"/>
    <s v="Dashboards"/>
    <n v="30"/>
    <s v="Intermediate"/>
    <n v="3"/>
    <s v="Advanced"/>
    <n v="4"/>
    <n v="1"/>
    <x v="0"/>
  </r>
  <r>
    <x v="141"/>
    <s v="STU142"/>
    <s v="Information Technology"/>
    <s v="Database Management"/>
    <s v="ER Diagram"/>
    <s v="Diagram"/>
    <n v="35"/>
    <s v="Beginner"/>
    <n v="1"/>
    <s v="Expert"/>
    <n v="5"/>
    <n v="4"/>
    <x v="0"/>
  </r>
  <r>
    <x v="142"/>
    <s v="STU143"/>
    <s v="Computer Science"/>
    <s v="Data Structures"/>
    <s v="Arrays"/>
    <s v="Practice"/>
    <n v="20"/>
    <s v="Basic"/>
    <n v="2"/>
    <s v="Intermediate"/>
    <n v="3"/>
    <n v="1"/>
    <x v="0"/>
  </r>
  <r>
    <x v="143"/>
    <s v="STU144"/>
    <s v="Information Technology"/>
    <s v="Database Management"/>
    <s v="ER Diagram"/>
    <s v="Diagram"/>
    <n v="35"/>
    <s v="Advanced"/>
    <n v="4"/>
    <s v="Advanced"/>
    <n v="4"/>
    <n v="0"/>
    <x v="1"/>
  </r>
  <r>
    <x v="144"/>
    <s v="STU145"/>
    <s v="Data Analytics"/>
    <s v="Data Visualization"/>
    <s v="Visualization Tools"/>
    <s v="Dashboards"/>
    <n v="30"/>
    <s v="Intermediate"/>
    <n v="3"/>
    <s v="Advanced"/>
    <n v="4"/>
    <n v="1"/>
    <x v="0"/>
  </r>
  <r>
    <x v="145"/>
    <s v="STU146"/>
    <s v="Artificial Intelligence"/>
    <s v="Mathematics"/>
    <s v="Probability Basics"/>
    <s v="Videos"/>
    <n v="23"/>
    <s v="Expert"/>
    <n v="5"/>
    <s v="Expert"/>
    <n v="5"/>
    <n v="0"/>
    <x v="1"/>
  </r>
  <r>
    <x v="146"/>
    <s v="STU147"/>
    <s v="Machine Learning"/>
    <s v="Linear Algebra"/>
    <s v="Matrices"/>
    <s v="Writing"/>
    <n v="10"/>
    <s v="Beginner"/>
    <n v="1"/>
    <s v="Intermediate"/>
    <n v="3"/>
    <n v="2"/>
    <x v="0"/>
  </r>
  <r>
    <x v="147"/>
    <s v="STU148"/>
    <s v="Cyber Security"/>
    <s v="Computer Networks"/>
    <s v="OSI Model"/>
    <s v="Notes"/>
    <n v="25"/>
    <s v="Basic"/>
    <n v="2"/>
    <s v="Expert"/>
    <n v="5"/>
    <n v="3"/>
    <x v="0"/>
  </r>
  <r>
    <x v="148"/>
    <s v="STU149"/>
    <s v="Software Engineering"/>
    <s v="DevOps"/>
    <s v="Docker Basics"/>
    <s v="Listening"/>
    <n v="17"/>
    <s v="Advanced"/>
    <n v="4"/>
    <s v="Expert"/>
    <n v="5"/>
    <n v="1"/>
    <x v="0"/>
  </r>
  <r>
    <x v="149"/>
    <s v="STU150"/>
    <s v="Data Scientist"/>
    <s v="Big Data Basics"/>
    <s v="Hadoop Architecture"/>
    <s v="Observation"/>
    <n v="15"/>
    <s v="Expert"/>
    <n v="5"/>
    <s v="Expert"/>
    <n v="5"/>
    <n v="0"/>
    <x v="1"/>
  </r>
  <r>
    <x v="150"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8" rowHeaderCaption="Total Topics">
  <location ref="A3:B7" firstHeaderRow="1" firstDataRow="1" firstDataCol="1"/>
  <pivotFields count="13">
    <pivotField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" fld="12" subtotal="count" baseField="0" baseItem="0"/>
  </dataField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9" sqref="C9"/>
    </sheetView>
  </sheetViews>
  <sheetFormatPr defaultRowHeight="14.5" x14ac:dyDescent="0.35"/>
  <cols>
    <col min="1" max="1" width="18" customWidth="1"/>
    <col min="2" max="2" width="5.08984375" customWidth="1"/>
    <col min="3" max="3" width="10" bestFit="1" customWidth="1"/>
  </cols>
  <sheetData>
    <row r="3" spans="1:3" x14ac:dyDescent="0.35">
      <c r="A3" s="2" t="s">
        <v>206</v>
      </c>
      <c r="B3" t="s">
        <v>205</v>
      </c>
      <c r="C3" s="5" t="s">
        <v>207</v>
      </c>
    </row>
    <row r="4" spans="1:3" x14ac:dyDescent="0.35">
      <c r="A4" s="3" t="s">
        <v>201</v>
      </c>
      <c r="B4" s="4">
        <v>7</v>
      </c>
      <c r="C4" s="7">
        <f>B4/$B$7</f>
        <v>4.6666666666666669E-2</v>
      </c>
    </row>
    <row r="5" spans="1:3" x14ac:dyDescent="0.35">
      <c r="A5" s="3" t="s">
        <v>202</v>
      </c>
      <c r="B5" s="4">
        <v>113</v>
      </c>
      <c r="C5" s="7">
        <f t="shared" ref="C5:C7" si="0">B5/$B$7</f>
        <v>0.7533333333333333</v>
      </c>
    </row>
    <row r="6" spans="1:3" x14ac:dyDescent="0.35">
      <c r="A6" s="3" t="s">
        <v>203</v>
      </c>
      <c r="B6" s="4">
        <v>30</v>
      </c>
      <c r="C6" s="7">
        <f t="shared" si="0"/>
        <v>0.2</v>
      </c>
    </row>
    <row r="7" spans="1:3" x14ac:dyDescent="0.35">
      <c r="A7" s="3" t="s">
        <v>204</v>
      </c>
      <c r="B7" s="4">
        <v>150</v>
      </c>
      <c r="C7" s="7">
        <f t="shared" si="0"/>
        <v>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topLeftCell="E1" zoomScale="111" zoomScaleNormal="111" workbookViewId="0">
      <selection activeCell="N1" sqref="N1"/>
    </sheetView>
  </sheetViews>
  <sheetFormatPr defaultRowHeight="14.5" x14ac:dyDescent="0.35"/>
  <cols>
    <col min="2" max="2" width="9.90625" bestFit="1" customWidth="1"/>
    <col min="3" max="3" width="20.90625" bestFit="1" customWidth="1"/>
    <col min="4" max="4" width="20.36328125" bestFit="1" customWidth="1"/>
    <col min="5" max="5" width="18.26953125" bestFit="1" customWidth="1"/>
    <col min="6" max="6" width="18.26953125" customWidth="1"/>
    <col min="7" max="7" width="15" bestFit="1" customWidth="1"/>
    <col min="8" max="8" width="15" customWidth="1"/>
    <col min="9" max="9" width="11.54296875" bestFit="1" customWidth="1"/>
    <col min="10" max="10" width="13.6328125" customWidth="1"/>
    <col min="11" max="11" width="14" bestFit="1" customWidth="1"/>
    <col min="12" max="12" width="14.36328125" bestFit="1" customWidth="1"/>
    <col min="13" max="13" width="18" bestFit="1" customWidth="1"/>
    <col min="15" max="15" width="14" bestFit="1" customWidth="1"/>
    <col min="16" max="16" width="11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156</v>
      </c>
      <c r="H1" t="s">
        <v>193</v>
      </c>
      <c r="I1" t="s">
        <v>199</v>
      </c>
      <c r="J1" t="s">
        <v>157</v>
      </c>
      <c r="K1" t="s">
        <v>200</v>
      </c>
      <c r="L1" t="s">
        <v>158</v>
      </c>
      <c r="M1" t="s">
        <v>159</v>
      </c>
      <c r="N1" t="s">
        <v>208</v>
      </c>
    </row>
    <row r="2" spans="1:14" x14ac:dyDescent="0.35">
      <c r="A2">
        <v>1</v>
      </c>
      <c r="B2" t="s">
        <v>6</v>
      </c>
      <c r="C2" s="1" t="s">
        <v>164</v>
      </c>
      <c r="D2" t="s">
        <v>168</v>
      </c>
      <c r="E2" t="s">
        <v>180</v>
      </c>
      <c r="F2" t="s">
        <v>186</v>
      </c>
      <c r="G2">
        <v>10</v>
      </c>
      <c r="H2" t="s">
        <v>194</v>
      </c>
      <c r="I2">
        <v>1</v>
      </c>
      <c r="J2" t="s">
        <v>197</v>
      </c>
      <c r="K2">
        <v>3</v>
      </c>
      <c r="L2">
        <f>K2-I2</f>
        <v>2</v>
      </c>
      <c r="M2" t="str">
        <f>IF(L2&gt;0,"Needs Improvement",IF(L2=0,"On Track","Above Expectation"))</f>
        <v>Needs Improvement</v>
      </c>
    </row>
    <row r="3" spans="1:14" x14ac:dyDescent="0.35">
      <c r="A3">
        <v>2</v>
      </c>
      <c r="B3" t="s">
        <v>7</v>
      </c>
      <c r="C3" s="1" t="s">
        <v>160</v>
      </c>
      <c r="D3" t="s">
        <v>169</v>
      </c>
      <c r="E3" t="s">
        <v>176</v>
      </c>
      <c r="F3" t="s">
        <v>189</v>
      </c>
      <c r="G3">
        <v>20</v>
      </c>
      <c r="H3" t="s">
        <v>195</v>
      </c>
      <c r="I3">
        <v>2</v>
      </c>
      <c r="J3" t="s">
        <v>198</v>
      </c>
      <c r="K3">
        <v>5</v>
      </c>
      <c r="L3">
        <f t="shared" ref="L3:L66" si="0">K3-I3</f>
        <v>3</v>
      </c>
      <c r="M3" t="str">
        <f t="shared" ref="M3:M66" si="1">IF(L3&gt;0,"Needs Improvement",IF(L3=0,"On Track","Above Expectation"))</f>
        <v>Needs Improvement</v>
      </c>
    </row>
    <row r="4" spans="1:14" x14ac:dyDescent="0.35">
      <c r="A4">
        <v>3</v>
      </c>
      <c r="B4" t="s">
        <v>8</v>
      </c>
      <c r="C4" s="1" t="s">
        <v>162</v>
      </c>
      <c r="D4" t="s">
        <v>170</v>
      </c>
      <c r="E4" t="s">
        <v>178</v>
      </c>
      <c r="F4" t="s">
        <v>185</v>
      </c>
      <c r="G4">
        <v>30</v>
      </c>
      <c r="H4" t="s">
        <v>196</v>
      </c>
      <c r="I4">
        <v>4</v>
      </c>
      <c r="J4" t="s">
        <v>196</v>
      </c>
      <c r="K4">
        <v>4</v>
      </c>
      <c r="L4">
        <f t="shared" si="0"/>
        <v>0</v>
      </c>
      <c r="M4" t="str">
        <f t="shared" si="1"/>
        <v>On Track</v>
      </c>
    </row>
    <row r="5" spans="1:14" x14ac:dyDescent="0.35">
      <c r="A5">
        <v>4</v>
      </c>
      <c r="B5" t="s">
        <v>9</v>
      </c>
      <c r="C5" s="1" t="s">
        <v>165</v>
      </c>
      <c r="D5" t="s">
        <v>171</v>
      </c>
      <c r="E5" t="s">
        <v>181</v>
      </c>
      <c r="F5" t="s">
        <v>188</v>
      </c>
      <c r="G5">
        <v>25</v>
      </c>
      <c r="H5" t="s">
        <v>197</v>
      </c>
      <c r="I5">
        <v>3</v>
      </c>
      <c r="J5" t="s">
        <v>195</v>
      </c>
      <c r="K5">
        <v>2</v>
      </c>
      <c r="L5">
        <f t="shared" si="0"/>
        <v>-1</v>
      </c>
      <c r="M5" t="str">
        <f t="shared" si="1"/>
        <v>Above Expectation</v>
      </c>
    </row>
    <row r="6" spans="1:14" x14ac:dyDescent="0.35">
      <c r="A6">
        <v>5</v>
      </c>
      <c r="B6" t="s">
        <v>10</v>
      </c>
      <c r="C6" s="1" t="s">
        <v>164</v>
      </c>
      <c r="D6" t="s">
        <v>168</v>
      </c>
      <c r="E6" t="s">
        <v>180</v>
      </c>
      <c r="F6" t="s">
        <v>186</v>
      </c>
      <c r="G6">
        <v>10</v>
      </c>
      <c r="H6" t="s">
        <v>197</v>
      </c>
      <c r="I6">
        <v>3</v>
      </c>
      <c r="J6" t="s">
        <v>196</v>
      </c>
      <c r="K6">
        <v>4</v>
      </c>
      <c r="L6">
        <f t="shared" si="0"/>
        <v>1</v>
      </c>
      <c r="M6" t="str">
        <f t="shared" si="1"/>
        <v>Needs Improvement</v>
      </c>
    </row>
    <row r="7" spans="1:14" x14ac:dyDescent="0.35">
      <c r="A7">
        <v>6</v>
      </c>
      <c r="B7" t="s">
        <v>11</v>
      </c>
      <c r="C7" s="1" t="s">
        <v>166</v>
      </c>
      <c r="D7" t="s">
        <v>172</v>
      </c>
      <c r="E7" t="s">
        <v>182</v>
      </c>
      <c r="F7" t="s">
        <v>187</v>
      </c>
      <c r="G7">
        <v>17</v>
      </c>
      <c r="H7" t="s">
        <v>194</v>
      </c>
      <c r="I7">
        <v>1</v>
      </c>
      <c r="J7" t="s">
        <v>197</v>
      </c>
      <c r="K7">
        <v>3</v>
      </c>
      <c r="L7">
        <f t="shared" si="0"/>
        <v>2</v>
      </c>
      <c r="M7" t="str">
        <f t="shared" si="1"/>
        <v>Needs Improvement</v>
      </c>
    </row>
    <row r="8" spans="1:14" x14ac:dyDescent="0.35">
      <c r="A8">
        <v>7</v>
      </c>
      <c r="B8" t="s">
        <v>12</v>
      </c>
      <c r="C8" s="1" t="s">
        <v>167</v>
      </c>
      <c r="D8" t="s">
        <v>173</v>
      </c>
      <c r="E8" t="s">
        <v>183</v>
      </c>
      <c r="F8" t="s">
        <v>190</v>
      </c>
      <c r="G8">
        <v>15</v>
      </c>
      <c r="H8" t="s">
        <v>195</v>
      </c>
      <c r="I8">
        <v>2</v>
      </c>
      <c r="J8" t="s">
        <v>197</v>
      </c>
      <c r="K8">
        <v>3</v>
      </c>
      <c r="L8">
        <f t="shared" si="0"/>
        <v>1</v>
      </c>
      <c r="M8" t="str">
        <f t="shared" si="1"/>
        <v>Needs Improvement</v>
      </c>
    </row>
    <row r="9" spans="1:14" x14ac:dyDescent="0.35">
      <c r="A9">
        <v>8</v>
      </c>
      <c r="B9" t="s">
        <v>13</v>
      </c>
      <c r="C9" s="1" t="s">
        <v>166</v>
      </c>
      <c r="D9" t="s">
        <v>172</v>
      </c>
      <c r="E9" t="s">
        <v>182</v>
      </c>
      <c r="F9" t="s">
        <v>187</v>
      </c>
      <c r="G9">
        <v>17</v>
      </c>
      <c r="H9" t="s">
        <v>197</v>
      </c>
      <c r="I9">
        <v>3</v>
      </c>
      <c r="J9" t="s">
        <v>196</v>
      </c>
      <c r="K9">
        <v>4</v>
      </c>
      <c r="L9">
        <f t="shared" si="0"/>
        <v>1</v>
      </c>
      <c r="M9" t="str">
        <f t="shared" si="1"/>
        <v>Needs Improvement</v>
      </c>
    </row>
    <row r="10" spans="1:14" x14ac:dyDescent="0.35">
      <c r="A10">
        <v>9</v>
      </c>
      <c r="B10" t="s">
        <v>14</v>
      </c>
      <c r="C10" s="1" t="s">
        <v>163</v>
      </c>
      <c r="D10" t="s">
        <v>174</v>
      </c>
      <c r="E10" t="s">
        <v>179</v>
      </c>
      <c r="F10" t="s">
        <v>191</v>
      </c>
      <c r="G10">
        <v>23</v>
      </c>
      <c r="H10" t="s">
        <v>196</v>
      </c>
      <c r="I10">
        <v>4</v>
      </c>
      <c r="J10" t="s">
        <v>198</v>
      </c>
      <c r="K10">
        <v>5</v>
      </c>
      <c r="L10">
        <f t="shared" si="0"/>
        <v>1</v>
      </c>
      <c r="M10" t="str">
        <f t="shared" si="1"/>
        <v>Needs Improvement</v>
      </c>
    </row>
    <row r="11" spans="1:14" x14ac:dyDescent="0.35">
      <c r="A11">
        <v>10</v>
      </c>
      <c r="B11" t="s">
        <v>15</v>
      </c>
      <c r="C11" s="1" t="s">
        <v>161</v>
      </c>
      <c r="D11" t="s">
        <v>175</v>
      </c>
      <c r="E11" t="s">
        <v>177</v>
      </c>
      <c r="F11" t="s">
        <v>184</v>
      </c>
      <c r="G11">
        <v>35</v>
      </c>
      <c r="H11" t="s">
        <v>195</v>
      </c>
      <c r="I11">
        <v>2</v>
      </c>
      <c r="J11" t="s">
        <v>196</v>
      </c>
      <c r="K11">
        <v>4</v>
      </c>
      <c r="L11">
        <f t="shared" si="0"/>
        <v>2</v>
      </c>
      <c r="M11" t="str">
        <f t="shared" si="1"/>
        <v>Needs Improvement</v>
      </c>
    </row>
    <row r="12" spans="1:14" x14ac:dyDescent="0.35">
      <c r="A12">
        <v>11</v>
      </c>
      <c r="B12" t="s">
        <v>16</v>
      </c>
      <c r="C12" s="1" t="s">
        <v>161</v>
      </c>
      <c r="D12" t="s">
        <v>175</v>
      </c>
      <c r="E12" t="s">
        <v>177</v>
      </c>
      <c r="F12" t="s">
        <v>184</v>
      </c>
      <c r="G12">
        <v>35</v>
      </c>
      <c r="H12" t="s">
        <v>198</v>
      </c>
      <c r="I12">
        <v>5</v>
      </c>
      <c r="J12" t="s">
        <v>198</v>
      </c>
      <c r="K12">
        <v>5</v>
      </c>
      <c r="L12">
        <f t="shared" si="0"/>
        <v>0</v>
      </c>
      <c r="M12" t="str">
        <f t="shared" si="1"/>
        <v>On Track</v>
      </c>
    </row>
    <row r="13" spans="1:14" x14ac:dyDescent="0.35">
      <c r="A13">
        <v>12</v>
      </c>
      <c r="B13" t="s">
        <v>17</v>
      </c>
      <c r="C13" s="1" t="s">
        <v>165</v>
      </c>
      <c r="D13" t="s">
        <v>171</v>
      </c>
      <c r="E13" t="s">
        <v>181</v>
      </c>
      <c r="F13" t="s">
        <v>188</v>
      </c>
      <c r="G13">
        <v>25</v>
      </c>
      <c r="H13" t="s">
        <v>194</v>
      </c>
      <c r="I13">
        <v>1</v>
      </c>
      <c r="J13" t="s">
        <v>195</v>
      </c>
      <c r="K13">
        <v>2</v>
      </c>
      <c r="L13">
        <f t="shared" si="0"/>
        <v>1</v>
      </c>
      <c r="M13" t="str">
        <f t="shared" si="1"/>
        <v>Needs Improvement</v>
      </c>
    </row>
    <row r="14" spans="1:14" x14ac:dyDescent="0.35">
      <c r="A14">
        <v>13</v>
      </c>
      <c r="B14" t="s">
        <v>18</v>
      </c>
      <c r="C14" s="1" t="s">
        <v>164</v>
      </c>
      <c r="D14" t="s">
        <v>168</v>
      </c>
      <c r="E14" t="s">
        <v>180</v>
      </c>
      <c r="F14" t="s">
        <v>186</v>
      </c>
      <c r="G14">
        <v>10</v>
      </c>
      <c r="H14" t="s">
        <v>197</v>
      </c>
      <c r="I14">
        <v>3</v>
      </c>
      <c r="J14" t="s">
        <v>198</v>
      </c>
      <c r="K14">
        <v>5</v>
      </c>
      <c r="L14">
        <f t="shared" si="0"/>
        <v>2</v>
      </c>
      <c r="M14" t="str">
        <f t="shared" si="1"/>
        <v>Needs Improvement</v>
      </c>
    </row>
    <row r="15" spans="1:14" x14ac:dyDescent="0.35">
      <c r="A15">
        <v>14</v>
      </c>
      <c r="B15" t="s">
        <v>19</v>
      </c>
      <c r="C15" s="1" t="s">
        <v>163</v>
      </c>
      <c r="D15" t="s">
        <v>175</v>
      </c>
      <c r="E15" t="s">
        <v>177</v>
      </c>
      <c r="F15" t="s">
        <v>184</v>
      </c>
      <c r="G15">
        <v>35</v>
      </c>
      <c r="H15" t="s">
        <v>196</v>
      </c>
      <c r="I15">
        <v>4</v>
      </c>
      <c r="J15" t="s">
        <v>196</v>
      </c>
      <c r="K15">
        <v>4</v>
      </c>
      <c r="L15">
        <f t="shared" si="0"/>
        <v>0</v>
      </c>
      <c r="M15" t="str">
        <f t="shared" si="1"/>
        <v>On Track</v>
      </c>
    </row>
    <row r="16" spans="1:14" x14ac:dyDescent="0.35">
      <c r="A16">
        <v>15</v>
      </c>
      <c r="B16" t="s">
        <v>20</v>
      </c>
      <c r="C16" s="1" t="s">
        <v>166</v>
      </c>
      <c r="D16" t="s">
        <v>172</v>
      </c>
      <c r="E16" t="s">
        <v>182</v>
      </c>
      <c r="F16" t="s">
        <v>187</v>
      </c>
      <c r="G16">
        <v>17</v>
      </c>
      <c r="H16" t="s">
        <v>195</v>
      </c>
      <c r="I16">
        <v>2</v>
      </c>
      <c r="J16" t="s">
        <v>197</v>
      </c>
      <c r="K16">
        <v>3</v>
      </c>
      <c r="L16">
        <f t="shared" si="0"/>
        <v>1</v>
      </c>
      <c r="M16" t="str">
        <f t="shared" si="1"/>
        <v>Needs Improvement</v>
      </c>
    </row>
    <row r="17" spans="1:13" x14ac:dyDescent="0.35">
      <c r="A17">
        <v>16</v>
      </c>
      <c r="B17" t="s">
        <v>21</v>
      </c>
      <c r="C17" s="1" t="s">
        <v>162</v>
      </c>
      <c r="D17" t="s">
        <v>170</v>
      </c>
      <c r="E17" t="s">
        <v>178</v>
      </c>
      <c r="F17" t="s">
        <v>185</v>
      </c>
      <c r="G17">
        <v>30</v>
      </c>
      <c r="H17" t="s">
        <v>194</v>
      </c>
      <c r="I17">
        <v>1</v>
      </c>
      <c r="J17" t="s">
        <v>198</v>
      </c>
      <c r="K17">
        <v>5</v>
      </c>
      <c r="L17">
        <f t="shared" si="0"/>
        <v>4</v>
      </c>
      <c r="M17" t="str">
        <f t="shared" si="1"/>
        <v>Needs Improvement</v>
      </c>
    </row>
    <row r="18" spans="1:13" x14ac:dyDescent="0.35">
      <c r="A18">
        <v>17</v>
      </c>
      <c r="B18" t="s">
        <v>22</v>
      </c>
      <c r="C18" s="1" t="s">
        <v>166</v>
      </c>
      <c r="D18" t="s">
        <v>172</v>
      </c>
      <c r="E18" t="s">
        <v>182</v>
      </c>
      <c r="F18" t="s">
        <v>187</v>
      </c>
      <c r="G18">
        <v>17</v>
      </c>
      <c r="H18" t="s">
        <v>197</v>
      </c>
      <c r="I18">
        <v>3</v>
      </c>
      <c r="J18" t="s">
        <v>196</v>
      </c>
      <c r="K18">
        <v>4</v>
      </c>
      <c r="L18">
        <f t="shared" si="0"/>
        <v>1</v>
      </c>
      <c r="M18" t="str">
        <f t="shared" si="1"/>
        <v>Needs Improvement</v>
      </c>
    </row>
    <row r="19" spans="1:13" x14ac:dyDescent="0.35">
      <c r="A19">
        <v>18</v>
      </c>
      <c r="B19" t="s">
        <v>23</v>
      </c>
      <c r="C19" s="1" t="s">
        <v>165</v>
      </c>
      <c r="D19" t="s">
        <v>171</v>
      </c>
      <c r="E19" t="s">
        <v>181</v>
      </c>
      <c r="F19" t="s">
        <v>188</v>
      </c>
      <c r="G19">
        <v>25</v>
      </c>
      <c r="H19" t="s">
        <v>198</v>
      </c>
      <c r="I19">
        <v>5</v>
      </c>
      <c r="J19" t="s">
        <v>198</v>
      </c>
      <c r="K19">
        <v>5</v>
      </c>
      <c r="L19">
        <f t="shared" si="0"/>
        <v>0</v>
      </c>
      <c r="M19" t="str">
        <f t="shared" si="1"/>
        <v>On Track</v>
      </c>
    </row>
    <row r="20" spans="1:13" x14ac:dyDescent="0.35">
      <c r="A20">
        <v>19</v>
      </c>
      <c r="B20" t="s">
        <v>24</v>
      </c>
      <c r="C20" s="1" t="s">
        <v>160</v>
      </c>
      <c r="D20" t="s">
        <v>169</v>
      </c>
      <c r="E20" t="s">
        <v>177</v>
      </c>
      <c r="F20" t="s">
        <v>184</v>
      </c>
      <c r="G20">
        <v>35</v>
      </c>
      <c r="H20" t="s">
        <v>197</v>
      </c>
      <c r="I20">
        <v>3</v>
      </c>
      <c r="J20" t="s">
        <v>196</v>
      </c>
      <c r="K20">
        <v>4</v>
      </c>
      <c r="L20">
        <f t="shared" si="0"/>
        <v>1</v>
      </c>
      <c r="M20" t="str">
        <f t="shared" si="1"/>
        <v>Needs Improvement</v>
      </c>
    </row>
    <row r="21" spans="1:13" x14ac:dyDescent="0.35">
      <c r="A21">
        <v>20</v>
      </c>
      <c r="B21" t="s">
        <v>25</v>
      </c>
      <c r="C21" s="1" t="s">
        <v>164</v>
      </c>
      <c r="D21" t="s">
        <v>168</v>
      </c>
      <c r="E21" t="s">
        <v>180</v>
      </c>
      <c r="F21" t="s">
        <v>186</v>
      </c>
      <c r="G21">
        <v>10</v>
      </c>
      <c r="H21" t="s">
        <v>194</v>
      </c>
      <c r="I21">
        <v>1</v>
      </c>
      <c r="J21" t="s">
        <v>195</v>
      </c>
      <c r="K21">
        <v>2</v>
      </c>
      <c r="L21">
        <f t="shared" si="0"/>
        <v>1</v>
      </c>
      <c r="M21" t="str">
        <f t="shared" si="1"/>
        <v>Needs Improvement</v>
      </c>
    </row>
    <row r="22" spans="1:13" x14ac:dyDescent="0.35">
      <c r="A22">
        <v>21</v>
      </c>
      <c r="B22" t="s">
        <v>26</v>
      </c>
      <c r="C22" s="1" t="s">
        <v>161</v>
      </c>
      <c r="D22" t="s">
        <v>175</v>
      </c>
      <c r="E22" t="s">
        <v>177</v>
      </c>
      <c r="F22" t="s">
        <v>184</v>
      </c>
      <c r="G22">
        <v>35</v>
      </c>
      <c r="H22" t="s">
        <v>194</v>
      </c>
      <c r="I22">
        <v>1</v>
      </c>
      <c r="J22" t="s">
        <v>196</v>
      </c>
      <c r="K22">
        <v>4</v>
      </c>
      <c r="L22">
        <f t="shared" si="0"/>
        <v>3</v>
      </c>
      <c r="M22" t="str">
        <f t="shared" si="1"/>
        <v>Needs Improvement</v>
      </c>
    </row>
    <row r="23" spans="1:13" x14ac:dyDescent="0.35">
      <c r="A23">
        <v>22</v>
      </c>
      <c r="B23" t="s">
        <v>27</v>
      </c>
      <c r="C23" s="1" t="s">
        <v>167</v>
      </c>
      <c r="D23" t="s">
        <v>173</v>
      </c>
      <c r="E23" t="s">
        <v>183</v>
      </c>
      <c r="F23" t="s">
        <v>190</v>
      </c>
      <c r="G23">
        <v>15</v>
      </c>
      <c r="H23" t="s">
        <v>195</v>
      </c>
      <c r="I23">
        <v>2</v>
      </c>
      <c r="J23" t="s">
        <v>197</v>
      </c>
      <c r="K23">
        <v>3</v>
      </c>
      <c r="L23">
        <f t="shared" si="0"/>
        <v>1</v>
      </c>
      <c r="M23" t="str">
        <f t="shared" si="1"/>
        <v>Needs Improvement</v>
      </c>
    </row>
    <row r="24" spans="1:13" x14ac:dyDescent="0.35">
      <c r="A24">
        <v>23</v>
      </c>
      <c r="B24" t="s">
        <v>28</v>
      </c>
      <c r="C24" s="1" t="s">
        <v>161</v>
      </c>
      <c r="D24" t="s">
        <v>175</v>
      </c>
      <c r="E24" t="s">
        <v>177</v>
      </c>
      <c r="F24" t="s">
        <v>184</v>
      </c>
      <c r="G24">
        <v>35</v>
      </c>
      <c r="H24" t="s">
        <v>196</v>
      </c>
      <c r="I24">
        <v>4</v>
      </c>
      <c r="J24" t="s">
        <v>198</v>
      </c>
      <c r="K24">
        <v>5</v>
      </c>
      <c r="L24">
        <f t="shared" si="0"/>
        <v>1</v>
      </c>
      <c r="M24" t="str">
        <f t="shared" si="1"/>
        <v>Needs Improvement</v>
      </c>
    </row>
    <row r="25" spans="1:13" x14ac:dyDescent="0.35">
      <c r="A25">
        <v>24</v>
      </c>
      <c r="B25" t="s">
        <v>29</v>
      </c>
      <c r="C25" s="1" t="s">
        <v>163</v>
      </c>
      <c r="D25" t="s">
        <v>174</v>
      </c>
      <c r="E25" t="s">
        <v>179</v>
      </c>
      <c r="F25" t="s">
        <v>191</v>
      </c>
      <c r="G25">
        <v>23</v>
      </c>
      <c r="H25" t="s">
        <v>194</v>
      </c>
      <c r="I25">
        <v>1</v>
      </c>
      <c r="J25" t="s">
        <v>194</v>
      </c>
      <c r="K25">
        <v>1</v>
      </c>
      <c r="L25">
        <f t="shared" si="0"/>
        <v>0</v>
      </c>
      <c r="M25" t="str">
        <f t="shared" si="1"/>
        <v>On Track</v>
      </c>
    </row>
    <row r="26" spans="1:13" x14ac:dyDescent="0.35">
      <c r="A26">
        <v>25</v>
      </c>
      <c r="B26" t="s">
        <v>30</v>
      </c>
      <c r="C26" s="1" t="s">
        <v>162</v>
      </c>
      <c r="D26" t="s">
        <v>170</v>
      </c>
      <c r="E26" t="s">
        <v>178</v>
      </c>
      <c r="F26" t="s">
        <v>185</v>
      </c>
      <c r="G26">
        <v>30</v>
      </c>
      <c r="H26" t="s">
        <v>196</v>
      </c>
      <c r="I26">
        <v>4</v>
      </c>
      <c r="J26" t="s">
        <v>198</v>
      </c>
      <c r="K26">
        <v>5</v>
      </c>
      <c r="L26">
        <f t="shared" si="0"/>
        <v>1</v>
      </c>
      <c r="M26" t="str">
        <f t="shared" si="1"/>
        <v>Needs Improvement</v>
      </c>
    </row>
    <row r="27" spans="1:13" x14ac:dyDescent="0.35">
      <c r="A27">
        <v>26</v>
      </c>
      <c r="B27" t="s">
        <v>31</v>
      </c>
      <c r="C27" s="1" t="s">
        <v>167</v>
      </c>
      <c r="D27" t="s">
        <v>173</v>
      </c>
      <c r="E27" t="s">
        <v>183</v>
      </c>
      <c r="F27" t="s">
        <v>190</v>
      </c>
      <c r="G27">
        <v>35</v>
      </c>
      <c r="H27" t="s">
        <v>197</v>
      </c>
      <c r="I27">
        <v>3</v>
      </c>
      <c r="J27" t="s">
        <v>196</v>
      </c>
      <c r="K27">
        <v>4</v>
      </c>
      <c r="L27">
        <f t="shared" si="0"/>
        <v>1</v>
      </c>
      <c r="M27" t="str">
        <f t="shared" si="1"/>
        <v>Needs Improvement</v>
      </c>
    </row>
    <row r="28" spans="1:13" x14ac:dyDescent="0.35">
      <c r="A28">
        <v>27</v>
      </c>
      <c r="B28" t="s">
        <v>32</v>
      </c>
      <c r="C28" s="1" t="s">
        <v>161</v>
      </c>
      <c r="D28" t="s">
        <v>175</v>
      </c>
      <c r="E28" t="s">
        <v>177</v>
      </c>
      <c r="F28" t="s">
        <v>184</v>
      </c>
      <c r="G28">
        <v>35</v>
      </c>
      <c r="H28" t="s">
        <v>194</v>
      </c>
      <c r="I28">
        <v>1</v>
      </c>
      <c r="J28" t="s">
        <v>195</v>
      </c>
      <c r="K28">
        <v>2</v>
      </c>
      <c r="L28">
        <f t="shared" si="0"/>
        <v>1</v>
      </c>
      <c r="M28" t="str">
        <f t="shared" si="1"/>
        <v>Needs Improvement</v>
      </c>
    </row>
    <row r="29" spans="1:13" x14ac:dyDescent="0.35">
      <c r="A29">
        <v>28</v>
      </c>
      <c r="B29" t="s">
        <v>33</v>
      </c>
      <c r="C29" s="1" t="s">
        <v>163</v>
      </c>
      <c r="D29" t="s">
        <v>174</v>
      </c>
      <c r="E29" t="s">
        <v>179</v>
      </c>
      <c r="F29" t="s">
        <v>191</v>
      </c>
      <c r="G29">
        <v>23</v>
      </c>
      <c r="H29" t="s">
        <v>195</v>
      </c>
      <c r="I29">
        <v>2</v>
      </c>
      <c r="J29" t="s">
        <v>197</v>
      </c>
      <c r="K29">
        <v>3</v>
      </c>
      <c r="L29">
        <f t="shared" si="0"/>
        <v>1</v>
      </c>
      <c r="M29" t="str">
        <f t="shared" si="1"/>
        <v>Needs Improvement</v>
      </c>
    </row>
    <row r="30" spans="1:13" x14ac:dyDescent="0.35">
      <c r="A30">
        <v>29</v>
      </c>
      <c r="B30" t="s">
        <v>34</v>
      </c>
      <c r="C30" s="1" t="s">
        <v>164</v>
      </c>
      <c r="D30" t="s">
        <v>168</v>
      </c>
      <c r="E30" t="s">
        <v>180</v>
      </c>
      <c r="F30" t="s">
        <v>186</v>
      </c>
      <c r="G30">
        <v>10</v>
      </c>
      <c r="H30" t="s">
        <v>196</v>
      </c>
      <c r="I30">
        <v>4</v>
      </c>
      <c r="J30" t="s">
        <v>198</v>
      </c>
      <c r="K30">
        <v>5</v>
      </c>
      <c r="L30">
        <f t="shared" si="0"/>
        <v>1</v>
      </c>
      <c r="M30" t="str">
        <f t="shared" si="1"/>
        <v>Needs Improvement</v>
      </c>
    </row>
    <row r="31" spans="1:13" x14ac:dyDescent="0.35">
      <c r="A31">
        <v>30</v>
      </c>
      <c r="B31" t="s">
        <v>35</v>
      </c>
      <c r="C31" s="1" t="s">
        <v>165</v>
      </c>
      <c r="D31" t="s">
        <v>171</v>
      </c>
      <c r="E31" t="s">
        <v>181</v>
      </c>
      <c r="F31" t="s">
        <v>188</v>
      </c>
      <c r="G31">
        <v>25</v>
      </c>
      <c r="H31" t="s">
        <v>194</v>
      </c>
      <c r="I31">
        <v>1</v>
      </c>
      <c r="J31" t="s">
        <v>196</v>
      </c>
      <c r="K31">
        <v>4</v>
      </c>
      <c r="L31">
        <f t="shared" si="0"/>
        <v>3</v>
      </c>
      <c r="M31" t="str">
        <f t="shared" si="1"/>
        <v>Needs Improvement</v>
      </c>
    </row>
    <row r="32" spans="1:13" x14ac:dyDescent="0.35">
      <c r="A32">
        <v>31</v>
      </c>
      <c r="B32" t="s">
        <v>36</v>
      </c>
      <c r="C32" s="1" t="s">
        <v>166</v>
      </c>
      <c r="D32" t="s">
        <v>172</v>
      </c>
      <c r="E32" t="s">
        <v>182</v>
      </c>
      <c r="F32" t="s">
        <v>187</v>
      </c>
      <c r="G32">
        <v>17</v>
      </c>
      <c r="H32" t="s">
        <v>195</v>
      </c>
      <c r="I32">
        <v>2</v>
      </c>
      <c r="J32" t="s">
        <v>198</v>
      </c>
      <c r="K32">
        <v>5</v>
      </c>
      <c r="L32">
        <f t="shared" si="0"/>
        <v>3</v>
      </c>
      <c r="M32" t="str">
        <f t="shared" si="1"/>
        <v>Needs Improvement</v>
      </c>
    </row>
    <row r="33" spans="1:13" x14ac:dyDescent="0.35">
      <c r="A33">
        <v>32</v>
      </c>
      <c r="B33" t="s">
        <v>37</v>
      </c>
      <c r="C33" s="1" t="s">
        <v>167</v>
      </c>
      <c r="D33" t="s">
        <v>173</v>
      </c>
      <c r="E33" t="s">
        <v>183</v>
      </c>
      <c r="F33" t="s">
        <v>190</v>
      </c>
      <c r="G33">
        <v>17</v>
      </c>
      <c r="H33" t="s">
        <v>196</v>
      </c>
      <c r="I33">
        <v>4</v>
      </c>
      <c r="J33" t="s">
        <v>198</v>
      </c>
      <c r="K33">
        <v>5</v>
      </c>
      <c r="L33">
        <f t="shared" si="0"/>
        <v>1</v>
      </c>
      <c r="M33" t="str">
        <f t="shared" si="1"/>
        <v>Needs Improvement</v>
      </c>
    </row>
    <row r="34" spans="1:13" x14ac:dyDescent="0.35">
      <c r="A34">
        <v>33</v>
      </c>
      <c r="B34" t="s">
        <v>38</v>
      </c>
      <c r="C34" s="1" t="s">
        <v>160</v>
      </c>
      <c r="D34" t="s">
        <v>169</v>
      </c>
      <c r="E34" t="s">
        <v>176</v>
      </c>
      <c r="F34" t="s">
        <v>189</v>
      </c>
      <c r="G34">
        <v>20</v>
      </c>
      <c r="H34" t="s">
        <v>198</v>
      </c>
      <c r="I34">
        <v>5</v>
      </c>
      <c r="J34" t="s">
        <v>198</v>
      </c>
      <c r="K34">
        <v>5</v>
      </c>
      <c r="L34">
        <f t="shared" si="0"/>
        <v>0</v>
      </c>
      <c r="M34" t="str">
        <f t="shared" si="1"/>
        <v>On Track</v>
      </c>
    </row>
    <row r="35" spans="1:13" x14ac:dyDescent="0.35">
      <c r="A35">
        <v>34</v>
      </c>
      <c r="B35" t="s">
        <v>39</v>
      </c>
      <c r="C35" s="1" t="s">
        <v>163</v>
      </c>
      <c r="D35" t="s">
        <v>174</v>
      </c>
      <c r="E35" t="s">
        <v>179</v>
      </c>
      <c r="F35" t="s">
        <v>191</v>
      </c>
      <c r="G35">
        <v>23</v>
      </c>
      <c r="H35" t="s">
        <v>197</v>
      </c>
      <c r="I35">
        <v>3</v>
      </c>
      <c r="J35" t="s">
        <v>196</v>
      </c>
      <c r="K35">
        <v>4</v>
      </c>
      <c r="L35">
        <f t="shared" si="0"/>
        <v>1</v>
      </c>
      <c r="M35" t="str">
        <f t="shared" si="1"/>
        <v>Needs Improvement</v>
      </c>
    </row>
    <row r="36" spans="1:13" x14ac:dyDescent="0.35">
      <c r="A36">
        <v>35</v>
      </c>
      <c r="B36" t="s">
        <v>40</v>
      </c>
      <c r="C36" s="1" t="s">
        <v>161</v>
      </c>
      <c r="D36" t="s">
        <v>175</v>
      </c>
      <c r="E36" t="s">
        <v>177</v>
      </c>
      <c r="F36" t="s">
        <v>184</v>
      </c>
      <c r="G36">
        <v>35</v>
      </c>
      <c r="H36" t="s">
        <v>194</v>
      </c>
      <c r="I36">
        <v>1</v>
      </c>
      <c r="J36" t="s">
        <v>197</v>
      </c>
      <c r="K36">
        <v>3</v>
      </c>
      <c r="L36">
        <f t="shared" si="0"/>
        <v>2</v>
      </c>
      <c r="M36" t="str">
        <f t="shared" si="1"/>
        <v>Needs Improvement</v>
      </c>
    </row>
    <row r="37" spans="1:13" x14ac:dyDescent="0.35">
      <c r="A37">
        <v>36</v>
      </c>
      <c r="B37" t="s">
        <v>41</v>
      </c>
      <c r="C37" s="1" t="s">
        <v>162</v>
      </c>
      <c r="D37" t="s">
        <v>170</v>
      </c>
      <c r="E37" t="s">
        <v>178</v>
      </c>
      <c r="F37" t="s">
        <v>185</v>
      </c>
      <c r="G37">
        <v>30</v>
      </c>
      <c r="H37" t="s">
        <v>194</v>
      </c>
      <c r="I37">
        <v>1</v>
      </c>
      <c r="J37" t="s">
        <v>194</v>
      </c>
      <c r="K37">
        <v>1</v>
      </c>
      <c r="L37">
        <f t="shared" si="0"/>
        <v>0</v>
      </c>
      <c r="M37" t="str">
        <f t="shared" si="1"/>
        <v>On Track</v>
      </c>
    </row>
    <row r="38" spans="1:13" x14ac:dyDescent="0.35">
      <c r="A38">
        <v>37</v>
      </c>
      <c r="B38" t="s">
        <v>42</v>
      </c>
      <c r="C38" s="1" t="s">
        <v>164</v>
      </c>
      <c r="D38" t="s">
        <v>168</v>
      </c>
      <c r="E38" t="s">
        <v>180</v>
      </c>
      <c r="F38" t="s">
        <v>186</v>
      </c>
      <c r="G38">
        <v>10</v>
      </c>
      <c r="H38" t="s">
        <v>195</v>
      </c>
      <c r="I38">
        <v>2</v>
      </c>
      <c r="J38" t="s">
        <v>197</v>
      </c>
      <c r="K38">
        <v>3</v>
      </c>
      <c r="L38">
        <f t="shared" si="0"/>
        <v>1</v>
      </c>
      <c r="M38" t="str">
        <f t="shared" si="1"/>
        <v>Needs Improvement</v>
      </c>
    </row>
    <row r="39" spans="1:13" x14ac:dyDescent="0.35">
      <c r="A39">
        <v>38</v>
      </c>
      <c r="B39" t="s">
        <v>43</v>
      </c>
      <c r="C39" s="1" t="s">
        <v>165</v>
      </c>
      <c r="D39" t="s">
        <v>171</v>
      </c>
      <c r="E39" t="s">
        <v>181</v>
      </c>
      <c r="F39" t="s">
        <v>188</v>
      </c>
      <c r="G39">
        <v>25</v>
      </c>
      <c r="H39" t="s">
        <v>197</v>
      </c>
      <c r="I39">
        <v>3</v>
      </c>
      <c r="J39" t="s">
        <v>196</v>
      </c>
      <c r="K39">
        <v>4</v>
      </c>
      <c r="L39">
        <f t="shared" si="0"/>
        <v>1</v>
      </c>
      <c r="M39" t="str">
        <f t="shared" si="1"/>
        <v>Needs Improvement</v>
      </c>
    </row>
    <row r="40" spans="1:13" x14ac:dyDescent="0.35">
      <c r="A40">
        <v>39</v>
      </c>
      <c r="B40" t="s">
        <v>44</v>
      </c>
      <c r="C40" s="1" t="s">
        <v>167</v>
      </c>
      <c r="D40" t="s">
        <v>173</v>
      </c>
      <c r="E40" t="s">
        <v>183</v>
      </c>
      <c r="F40" t="s">
        <v>190</v>
      </c>
      <c r="G40">
        <v>15</v>
      </c>
      <c r="H40" t="s">
        <v>195</v>
      </c>
      <c r="I40">
        <v>2</v>
      </c>
      <c r="J40" t="s">
        <v>198</v>
      </c>
      <c r="K40">
        <v>5</v>
      </c>
      <c r="L40">
        <f t="shared" si="0"/>
        <v>3</v>
      </c>
      <c r="M40" t="str">
        <f t="shared" si="1"/>
        <v>Needs Improvement</v>
      </c>
    </row>
    <row r="41" spans="1:13" x14ac:dyDescent="0.35">
      <c r="A41">
        <v>40</v>
      </c>
      <c r="B41" t="s">
        <v>45</v>
      </c>
      <c r="C41" s="1" t="s">
        <v>166</v>
      </c>
      <c r="D41" t="s">
        <v>172</v>
      </c>
      <c r="E41" t="s">
        <v>182</v>
      </c>
      <c r="F41" t="s">
        <v>187</v>
      </c>
      <c r="G41">
        <v>17</v>
      </c>
      <c r="H41" t="s">
        <v>194</v>
      </c>
      <c r="I41">
        <v>1</v>
      </c>
      <c r="J41" t="s">
        <v>195</v>
      </c>
      <c r="K41">
        <v>2</v>
      </c>
      <c r="L41">
        <f t="shared" si="0"/>
        <v>1</v>
      </c>
      <c r="M41" t="str">
        <f t="shared" si="1"/>
        <v>Needs Improvement</v>
      </c>
    </row>
    <row r="42" spans="1:13" x14ac:dyDescent="0.35">
      <c r="A42">
        <v>41</v>
      </c>
      <c r="B42" t="s">
        <v>46</v>
      </c>
      <c r="C42" s="1" t="s">
        <v>161</v>
      </c>
      <c r="D42" t="s">
        <v>175</v>
      </c>
      <c r="E42" t="s">
        <v>177</v>
      </c>
      <c r="F42" t="s">
        <v>184</v>
      </c>
      <c r="G42">
        <v>35</v>
      </c>
      <c r="H42" t="s">
        <v>195</v>
      </c>
      <c r="I42">
        <v>2</v>
      </c>
      <c r="J42" t="s">
        <v>196</v>
      </c>
      <c r="K42">
        <v>4</v>
      </c>
      <c r="L42">
        <f t="shared" si="0"/>
        <v>2</v>
      </c>
      <c r="M42" t="str">
        <f t="shared" si="1"/>
        <v>Needs Improvement</v>
      </c>
    </row>
    <row r="43" spans="1:13" x14ac:dyDescent="0.35">
      <c r="A43">
        <v>42</v>
      </c>
      <c r="B43" t="s">
        <v>47</v>
      </c>
      <c r="C43" s="1" t="s">
        <v>162</v>
      </c>
      <c r="D43" t="s">
        <v>170</v>
      </c>
      <c r="E43" t="s">
        <v>178</v>
      </c>
      <c r="F43" t="s">
        <v>185</v>
      </c>
      <c r="G43">
        <v>30</v>
      </c>
      <c r="H43" t="s">
        <v>197</v>
      </c>
      <c r="I43">
        <v>3</v>
      </c>
      <c r="J43" t="s">
        <v>197</v>
      </c>
      <c r="K43">
        <v>3</v>
      </c>
      <c r="L43">
        <f t="shared" si="0"/>
        <v>0</v>
      </c>
      <c r="M43" t="str">
        <f t="shared" si="1"/>
        <v>On Track</v>
      </c>
    </row>
    <row r="44" spans="1:13" x14ac:dyDescent="0.35">
      <c r="A44">
        <v>43</v>
      </c>
      <c r="B44" t="s">
        <v>48</v>
      </c>
      <c r="C44" s="1" t="s">
        <v>160</v>
      </c>
      <c r="D44" t="s">
        <v>169</v>
      </c>
      <c r="E44" t="s">
        <v>176</v>
      </c>
      <c r="F44" t="s">
        <v>189</v>
      </c>
      <c r="G44">
        <v>20</v>
      </c>
      <c r="H44" t="s">
        <v>194</v>
      </c>
      <c r="I44">
        <v>1</v>
      </c>
      <c r="J44" t="s">
        <v>196</v>
      </c>
      <c r="K44">
        <v>4</v>
      </c>
      <c r="L44">
        <f t="shared" si="0"/>
        <v>3</v>
      </c>
      <c r="M44" t="str">
        <f t="shared" si="1"/>
        <v>Needs Improvement</v>
      </c>
    </row>
    <row r="45" spans="1:13" x14ac:dyDescent="0.35">
      <c r="A45">
        <v>44</v>
      </c>
      <c r="B45" t="s">
        <v>49</v>
      </c>
      <c r="C45" s="1" t="s">
        <v>163</v>
      </c>
      <c r="D45" t="s">
        <v>174</v>
      </c>
      <c r="E45" t="s">
        <v>179</v>
      </c>
      <c r="F45" t="s">
        <v>191</v>
      </c>
      <c r="G45">
        <v>23</v>
      </c>
      <c r="H45" t="s">
        <v>198</v>
      </c>
      <c r="I45">
        <v>5</v>
      </c>
      <c r="J45" t="s">
        <v>198</v>
      </c>
      <c r="K45">
        <v>5</v>
      </c>
      <c r="L45">
        <f t="shared" si="0"/>
        <v>0</v>
      </c>
      <c r="M45" t="str">
        <f t="shared" si="1"/>
        <v>On Track</v>
      </c>
    </row>
    <row r="46" spans="1:13" x14ac:dyDescent="0.35">
      <c r="A46">
        <v>45</v>
      </c>
      <c r="B46" t="s">
        <v>50</v>
      </c>
      <c r="C46" s="1" t="s">
        <v>165</v>
      </c>
      <c r="D46" t="s">
        <v>171</v>
      </c>
      <c r="E46" t="s">
        <v>181</v>
      </c>
      <c r="F46" t="s">
        <v>188</v>
      </c>
      <c r="G46">
        <v>25</v>
      </c>
      <c r="H46" t="s">
        <v>197</v>
      </c>
      <c r="I46">
        <v>3</v>
      </c>
      <c r="J46" t="s">
        <v>196</v>
      </c>
      <c r="K46">
        <v>4</v>
      </c>
      <c r="L46">
        <f t="shared" si="0"/>
        <v>1</v>
      </c>
      <c r="M46" t="str">
        <f t="shared" si="1"/>
        <v>Needs Improvement</v>
      </c>
    </row>
    <row r="47" spans="1:13" x14ac:dyDescent="0.35">
      <c r="A47">
        <v>46</v>
      </c>
      <c r="B47" t="s">
        <v>51</v>
      </c>
      <c r="C47" s="1" t="s">
        <v>160</v>
      </c>
      <c r="D47" t="s">
        <v>169</v>
      </c>
      <c r="E47" t="s">
        <v>176</v>
      </c>
      <c r="F47" t="s">
        <v>189</v>
      </c>
      <c r="G47">
        <v>20</v>
      </c>
      <c r="H47" t="s">
        <v>195</v>
      </c>
      <c r="I47">
        <v>2</v>
      </c>
      <c r="J47" t="s">
        <v>197</v>
      </c>
      <c r="K47">
        <v>3</v>
      </c>
      <c r="L47">
        <f t="shared" si="0"/>
        <v>1</v>
      </c>
      <c r="M47" t="str">
        <f t="shared" si="1"/>
        <v>Needs Improvement</v>
      </c>
    </row>
    <row r="48" spans="1:13" x14ac:dyDescent="0.35">
      <c r="A48">
        <v>47</v>
      </c>
      <c r="B48" t="s">
        <v>52</v>
      </c>
      <c r="C48" s="1" t="s">
        <v>161</v>
      </c>
      <c r="D48" t="s">
        <v>175</v>
      </c>
      <c r="E48" t="s">
        <v>177</v>
      </c>
      <c r="F48" t="s">
        <v>184</v>
      </c>
      <c r="G48">
        <v>35</v>
      </c>
      <c r="H48" t="s">
        <v>197</v>
      </c>
      <c r="I48">
        <v>3</v>
      </c>
      <c r="J48" t="s">
        <v>196</v>
      </c>
      <c r="K48">
        <v>4</v>
      </c>
      <c r="L48">
        <f t="shared" si="0"/>
        <v>1</v>
      </c>
      <c r="M48" t="str">
        <f t="shared" si="1"/>
        <v>Needs Improvement</v>
      </c>
    </row>
    <row r="49" spans="1:13" x14ac:dyDescent="0.35">
      <c r="A49">
        <v>48</v>
      </c>
      <c r="B49" t="s">
        <v>53</v>
      </c>
      <c r="C49" s="1" t="s">
        <v>165</v>
      </c>
      <c r="D49" t="s">
        <v>169</v>
      </c>
      <c r="E49" t="s">
        <v>176</v>
      </c>
      <c r="F49" t="s">
        <v>189</v>
      </c>
      <c r="G49">
        <v>35</v>
      </c>
      <c r="H49" t="s">
        <v>194</v>
      </c>
      <c r="I49">
        <v>1</v>
      </c>
      <c r="J49" t="s">
        <v>195</v>
      </c>
      <c r="K49">
        <v>2</v>
      </c>
      <c r="L49">
        <f t="shared" si="0"/>
        <v>1</v>
      </c>
      <c r="M49" t="str">
        <f t="shared" si="1"/>
        <v>Needs Improvement</v>
      </c>
    </row>
    <row r="50" spans="1:13" x14ac:dyDescent="0.35">
      <c r="A50">
        <v>49</v>
      </c>
      <c r="B50" t="s">
        <v>54</v>
      </c>
      <c r="C50" s="1" t="s">
        <v>164</v>
      </c>
      <c r="D50" t="s">
        <v>168</v>
      </c>
      <c r="E50" t="s">
        <v>180</v>
      </c>
      <c r="F50" t="s">
        <v>186</v>
      </c>
      <c r="G50">
        <v>10</v>
      </c>
      <c r="H50" t="s">
        <v>195</v>
      </c>
      <c r="I50">
        <v>2</v>
      </c>
      <c r="J50" t="s">
        <v>197</v>
      </c>
      <c r="K50">
        <v>3</v>
      </c>
      <c r="L50">
        <f t="shared" si="0"/>
        <v>1</v>
      </c>
      <c r="M50" t="str">
        <f t="shared" si="1"/>
        <v>Needs Improvement</v>
      </c>
    </row>
    <row r="51" spans="1:13" x14ac:dyDescent="0.35">
      <c r="A51">
        <v>50</v>
      </c>
      <c r="B51" t="s">
        <v>55</v>
      </c>
      <c r="C51" s="1" t="s">
        <v>166</v>
      </c>
      <c r="D51" t="s">
        <v>172</v>
      </c>
      <c r="E51" t="s">
        <v>182</v>
      </c>
      <c r="F51" t="s">
        <v>187</v>
      </c>
      <c r="G51">
        <v>17</v>
      </c>
      <c r="H51" t="s">
        <v>196</v>
      </c>
      <c r="I51">
        <v>4</v>
      </c>
      <c r="J51" t="s">
        <v>198</v>
      </c>
      <c r="K51">
        <v>5</v>
      </c>
      <c r="L51">
        <f t="shared" si="0"/>
        <v>1</v>
      </c>
      <c r="M51" t="str">
        <f t="shared" si="1"/>
        <v>Needs Improvement</v>
      </c>
    </row>
    <row r="52" spans="1:13" x14ac:dyDescent="0.35">
      <c r="A52">
        <v>51</v>
      </c>
      <c r="B52" t="s">
        <v>56</v>
      </c>
      <c r="C52" s="1" t="s">
        <v>163</v>
      </c>
      <c r="D52" t="s">
        <v>174</v>
      </c>
      <c r="E52" t="s">
        <v>179</v>
      </c>
      <c r="F52" t="s">
        <v>191</v>
      </c>
      <c r="G52">
        <v>23</v>
      </c>
      <c r="H52" t="s">
        <v>194</v>
      </c>
      <c r="I52">
        <v>1</v>
      </c>
      <c r="J52" t="s">
        <v>195</v>
      </c>
      <c r="K52">
        <v>2</v>
      </c>
      <c r="L52">
        <f t="shared" si="0"/>
        <v>1</v>
      </c>
      <c r="M52" t="str">
        <f t="shared" si="1"/>
        <v>Needs Improvement</v>
      </c>
    </row>
    <row r="53" spans="1:13" x14ac:dyDescent="0.35">
      <c r="A53">
        <v>52</v>
      </c>
      <c r="B53" t="s">
        <v>57</v>
      </c>
      <c r="C53" s="1" t="s">
        <v>165</v>
      </c>
      <c r="D53" t="s">
        <v>171</v>
      </c>
      <c r="E53" t="s">
        <v>181</v>
      </c>
      <c r="F53" t="s">
        <v>188</v>
      </c>
      <c r="G53">
        <v>23</v>
      </c>
      <c r="H53" t="s">
        <v>197</v>
      </c>
      <c r="I53">
        <v>3</v>
      </c>
      <c r="J53" t="s">
        <v>196</v>
      </c>
      <c r="K53">
        <v>4</v>
      </c>
      <c r="L53">
        <f t="shared" si="0"/>
        <v>1</v>
      </c>
      <c r="M53" t="str">
        <f t="shared" si="1"/>
        <v>Needs Improvement</v>
      </c>
    </row>
    <row r="54" spans="1:13" x14ac:dyDescent="0.35">
      <c r="A54">
        <v>53</v>
      </c>
      <c r="B54" t="s">
        <v>58</v>
      </c>
      <c r="C54" s="1" t="s">
        <v>161</v>
      </c>
      <c r="D54" t="s">
        <v>175</v>
      </c>
      <c r="E54" t="s">
        <v>177</v>
      </c>
      <c r="F54" t="s">
        <v>184</v>
      </c>
      <c r="G54">
        <v>35</v>
      </c>
      <c r="H54" t="s">
        <v>195</v>
      </c>
      <c r="I54">
        <v>2</v>
      </c>
      <c r="J54" t="s">
        <v>197</v>
      </c>
      <c r="K54">
        <v>3</v>
      </c>
      <c r="L54">
        <f t="shared" si="0"/>
        <v>1</v>
      </c>
      <c r="M54" t="str">
        <f t="shared" si="1"/>
        <v>Needs Improvement</v>
      </c>
    </row>
    <row r="55" spans="1:13" x14ac:dyDescent="0.35">
      <c r="A55">
        <v>54</v>
      </c>
      <c r="B55" t="s">
        <v>59</v>
      </c>
      <c r="C55" s="1" t="s">
        <v>167</v>
      </c>
      <c r="D55" t="s">
        <v>173</v>
      </c>
      <c r="E55" t="s">
        <v>183</v>
      </c>
      <c r="F55" t="s">
        <v>190</v>
      </c>
      <c r="G55">
        <v>15</v>
      </c>
      <c r="H55" t="s">
        <v>194</v>
      </c>
      <c r="I55">
        <v>1</v>
      </c>
      <c r="J55" t="s">
        <v>196</v>
      </c>
      <c r="K55">
        <v>4</v>
      </c>
      <c r="L55">
        <f t="shared" si="0"/>
        <v>3</v>
      </c>
      <c r="M55" t="str">
        <f t="shared" si="1"/>
        <v>Needs Improvement</v>
      </c>
    </row>
    <row r="56" spans="1:13" x14ac:dyDescent="0.35">
      <c r="A56">
        <v>55</v>
      </c>
      <c r="B56" t="s">
        <v>60</v>
      </c>
      <c r="C56" s="1" t="s">
        <v>166</v>
      </c>
      <c r="D56" t="s">
        <v>169</v>
      </c>
      <c r="E56" t="s">
        <v>176</v>
      </c>
      <c r="F56" t="s">
        <v>189</v>
      </c>
      <c r="G56">
        <v>20</v>
      </c>
      <c r="H56" t="s">
        <v>197</v>
      </c>
      <c r="I56">
        <v>3</v>
      </c>
      <c r="J56" t="s">
        <v>198</v>
      </c>
      <c r="K56">
        <v>5</v>
      </c>
      <c r="L56">
        <f t="shared" si="0"/>
        <v>2</v>
      </c>
      <c r="M56" t="str">
        <f t="shared" si="1"/>
        <v>Needs Improvement</v>
      </c>
    </row>
    <row r="57" spans="1:13" x14ac:dyDescent="0.35">
      <c r="A57">
        <v>56</v>
      </c>
      <c r="B57" t="s">
        <v>61</v>
      </c>
      <c r="C57" s="1" t="s">
        <v>163</v>
      </c>
      <c r="D57" t="s">
        <v>174</v>
      </c>
      <c r="E57" t="s">
        <v>179</v>
      </c>
      <c r="F57" t="s">
        <v>191</v>
      </c>
      <c r="G57">
        <v>23</v>
      </c>
      <c r="H57" t="s">
        <v>195</v>
      </c>
      <c r="I57">
        <v>2</v>
      </c>
      <c r="J57" t="s">
        <v>197</v>
      </c>
      <c r="K57">
        <v>3</v>
      </c>
      <c r="L57">
        <f t="shared" si="0"/>
        <v>1</v>
      </c>
      <c r="M57" t="str">
        <f t="shared" si="1"/>
        <v>Needs Improvement</v>
      </c>
    </row>
    <row r="58" spans="1:13" x14ac:dyDescent="0.35">
      <c r="A58">
        <v>57</v>
      </c>
      <c r="B58" t="s">
        <v>62</v>
      </c>
      <c r="C58" s="1" t="s">
        <v>162</v>
      </c>
      <c r="D58" t="s">
        <v>170</v>
      </c>
      <c r="E58" t="s">
        <v>178</v>
      </c>
      <c r="F58" t="s">
        <v>185</v>
      </c>
      <c r="G58">
        <v>30</v>
      </c>
      <c r="H58" t="s">
        <v>196</v>
      </c>
      <c r="I58">
        <v>4</v>
      </c>
      <c r="J58" t="s">
        <v>195</v>
      </c>
      <c r="K58">
        <v>2</v>
      </c>
      <c r="L58">
        <f t="shared" si="0"/>
        <v>-2</v>
      </c>
      <c r="M58" t="str">
        <f t="shared" si="1"/>
        <v>Above Expectation</v>
      </c>
    </row>
    <row r="59" spans="1:13" x14ac:dyDescent="0.35">
      <c r="A59">
        <v>58</v>
      </c>
      <c r="B59" t="s">
        <v>63</v>
      </c>
      <c r="C59" s="1" t="s">
        <v>164</v>
      </c>
      <c r="D59" t="s">
        <v>168</v>
      </c>
      <c r="E59" t="s">
        <v>180</v>
      </c>
      <c r="F59" t="s">
        <v>186</v>
      </c>
      <c r="G59">
        <v>10</v>
      </c>
      <c r="H59" t="s">
        <v>194</v>
      </c>
      <c r="I59">
        <v>1</v>
      </c>
      <c r="J59" t="s">
        <v>196</v>
      </c>
      <c r="K59">
        <v>4</v>
      </c>
      <c r="L59">
        <f t="shared" si="0"/>
        <v>3</v>
      </c>
      <c r="M59" t="str">
        <f t="shared" si="1"/>
        <v>Needs Improvement</v>
      </c>
    </row>
    <row r="60" spans="1:13" x14ac:dyDescent="0.35">
      <c r="A60">
        <v>59</v>
      </c>
      <c r="B60" t="s">
        <v>64</v>
      </c>
      <c r="C60" s="1" t="s">
        <v>167</v>
      </c>
      <c r="D60" t="s">
        <v>173</v>
      </c>
      <c r="E60" t="s">
        <v>183</v>
      </c>
      <c r="F60" t="s">
        <v>190</v>
      </c>
      <c r="G60">
        <v>15</v>
      </c>
      <c r="H60" t="s">
        <v>198</v>
      </c>
      <c r="I60">
        <v>5</v>
      </c>
      <c r="J60" t="s">
        <v>198</v>
      </c>
      <c r="K60">
        <v>5</v>
      </c>
      <c r="L60">
        <f t="shared" si="0"/>
        <v>0</v>
      </c>
      <c r="M60" t="str">
        <f t="shared" si="1"/>
        <v>On Track</v>
      </c>
    </row>
    <row r="61" spans="1:13" x14ac:dyDescent="0.35">
      <c r="A61">
        <v>60</v>
      </c>
      <c r="B61" t="s">
        <v>65</v>
      </c>
      <c r="C61" s="1" t="s">
        <v>161</v>
      </c>
      <c r="D61" t="s">
        <v>175</v>
      </c>
      <c r="E61" t="s">
        <v>177</v>
      </c>
      <c r="F61" t="s">
        <v>184</v>
      </c>
      <c r="G61">
        <v>35</v>
      </c>
      <c r="H61" t="s">
        <v>195</v>
      </c>
      <c r="I61">
        <v>2</v>
      </c>
      <c r="J61" t="s">
        <v>196</v>
      </c>
      <c r="K61">
        <v>4</v>
      </c>
      <c r="L61">
        <f t="shared" si="0"/>
        <v>2</v>
      </c>
      <c r="M61" t="str">
        <f t="shared" si="1"/>
        <v>Needs Improvement</v>
      </c>
    </row>
    <row r="62" spans="1:13" x14ac:dyDescent="0.35">
      <c r="A62">
        <v>61</v>
      </c>
      <c r="B62" t="s">
        <v>66</v>
      </c>
      <c r="C62" s="1" t="s">
        <v>165</v>
      </c>
      <c r="D62" t="s">
        <v>171</v>
      </c>
      <c r="E62" t="s">
        <v>181</v>
      </c>
      <c r="F62" t="s">
        <v>188</v>
      </c>
      <c r="G62">
        <v>25</v>
      </c>
      <c r="H62" t="s">
        <v>194</v>
      </c>
      <c r="I62">
        <v>1</v>
      </c>
      <c r="J62" t="s">
        <v>197</v>
      </c>
      <c r="K62">
        <v>3</v>
      </c>
      <c r="L62">
        <f t="shared" si="0"/>
        <v>2</v>
      </c>
      <c r="M62" t="str">
        <f t="shared" si="1"/>
        <v>Needs Improvement</v>
      </c>
    </row>
    <row r="63" spans="1:13" x14ac:dyDescent="0.35">
      <c r="A63">
        <v>62</v>
      </c>
      <c r="B63" t="s">
        <v>67</v>
      </c>
      <c r="C63" s="1" t="s">
        <v>160</v>
      </c>
      <c r="D63" t="s">
        <v>169</v>
      </c>
      <c r="E63" t="s">
        <v>176</v>
      </c>
      <c r="F63" t="s">
        <v>189</v>
      </c>
      <c r="G63">
        <v>20</v>
      </c>
      <c r="H63" t="s">
        <v>196</v>
      </c>
      <c r="I63">
        <v>4</v>
      </c>
      <c r="J63" t="s">
        <v>198</v>
      </c>
      <c r="K63">
        <v>5</v>
      </c>
      <c r="L63">
        <f t="shared" si="0"/>
        <v>1</v>
      </c>
      <c r="M63" t="str">
        <f t="shared" si="1"/>
        <v>Needs Improvement</v>
      </c>
    </row>
    <row r="64" spans="1:13" x14ac:dyDescent="0.35">
      <c r="A64">
        <v>63</v>
      </c>
      <c r="B64" t="s">
        <v>68</v>
      </c>
      <c r="C64" s="1" t="s">
        <v>161</v>
      </c>
      <c r="D64" t="s">
        <v>175</v>
      </c>
      <c r="E64" t="s">
        <v>177</v>
      </c>
      <c r="F64" t="s">
        <v>184</v>
      </c>
      <c r="G64">
        <v>35</v>
      </c>
      <c r="H64" t="s">
        <v>197</v>
      </c>
      <c r="I64">
        <v>3</v>
      </c>
      <c r="J64" t="s">
        <v>195</v>
      </c>
      <c r="K64">
        <v>2</v>
      </c>
      <c r="L64">
        <f t="shared" si="0"/>
        <v>-1</v>
      </c>
      <c r="M64" t="str">
        <f t="shared" si="1"/>
        <v>Above Expectation</v>
      </c>
    </row>
    <row r="65" spans="1:13" x14ac:dyDescent="0.35">
      <c r="A65">
        <v>64</v>
      </c>
      <c r="B65" t="s">
        <v>69</v>
      </c>
      <c r="C65" s="1" t="s">
        <v>165</v>
      </c>
      <c r="D65" t="s">
        <v>171</v>
      </c>
      <c r="E65" t="s">
        <v>181</v>
      </c>
      <c r="F65" t="s">
        <v>188</v>
      </c>
      <c r="G65">
        <v>25</v>
      </c>
      <c r="H65" t="s">
        <v>194</v>
      </c>
      <c r="I65">
        <v>1</v>
      </c>
      <c r="J65" t="s">
        <v>196</v>
      </c>
      <c r="K65">
        <v>4</v>
      </c>
      <c r="L65">
        <f t="shared" si="0"/>
        <v>3</v>
      </c>
      <c r="M65" t="str">
        <f t="shared" si="1"/>
        <v>Needs Improvement</v>
      </c>
    </row>
    <row r="66" spans="1:13" x14ac:dyDescent="0.35">
      <c r="A66">
        <v>65</v>
      </c>
      <c r="B66" t="s">
        <v>70</v>
      </c>
      <c r="C66" s="1" t="s">
        <v>162</v>
      </c>
      <c r="D66" t="s">
        <v>170</v>
      </c>
      <c r="E66" t="s">
        <v>178</v>
      </c>
      <c r="F66" t="s">
        <v>185</v>
      </c>
      <c r="G66">
        <v>20</v>
      </c>
      <c r="H66" t="s">
        <v>196</v>
      </c>
      <c r="I66">
        <v>4</v>
      </c>
      <c r="J66" t="s">
        <v>198</v>
      </c>
      <c r="K66">
        <v>5</v>
      </c>
      <c r="L66">
        <f t="shared" si="0"/>
        <v>1</v>
      </c>
      <c r="M66" t="str">
        <f t="shared" si="1"/>
        <v>Needs Improvement</v>
      </c>
    </row>
    <row r="67" spans="1:13" x14ac:dyDescent="0.35">
      <c r="A67">
        <v>66</v>
      </c>
      <c r="B67" t="s">
        <v>71</v>
      </c>
      <c r="C67" s="1" t="s">
        <v>166</v>
      </c>
      <c r="D67" t="s">
        <v>172</v>
      </c>
      <c r="E67" t="s">
        <v>182</v>
      </c>
      <c r="F67" t="s">
        <v>187</v>
      </c>
      <c r="G67">
        <v>17</v>
      </c>
      <c r="H67" t="s">
        <v>197</v>
      </c>
      <c r="I67">
        <v>3</v>
      </c>
      <c r="J67" t="s">
        <v>197</v>
      </c>
      <c r="K67">
        <v>3</v>
      </c>
      <c r="L67">
        <f t="shared" ref="L67:L130" si="2">K67-I67</f>
        <v>0</v>
      </c>
      <c r="M67" t="str">
        <f t="shared" ref="M67:M130" si="3">IF(L67&gt;0,"Needs Improvement",IF(L67=0,"On Track","Above Expectation"))</f>
        <v>On Track</v>
      </c>
    </row>
    <row r="68" spans="1:13" x14ac:dyDescent="0.35">
      <c r="A68">
        <v>67</v>
      </c>
      <c r="B68" t="s">
        <v>72</v>
      </c>
      <c r="C68" s="1" t="s">
        <v>167</v>
      </c>
      <c r="D68" t="s">
        <v>173</v>
      </c>
      <c r="E68" t="s">
        <v>183</v>
      </c>
      <c r="F68" t="s">
        <v>190</v>
      </c>
      <c r="G68">
        <v>15</v>
      </c>
      <c r="H68" t="s">
        <v>195</v>
      </c>
      <c r="I68">
        <v>2</v>
      </c>
      <c r="J68" t="s">
        <v>198</v>
      </c>
      <c r="K68">
        <v>5</v>
      </c>
      <c r="L68">
        <f t="shared" si="2"/>
        <v>3</v>
      </c>
      <c r="M68" t="str">
        <f t="shared" si="3"/>
        <v>Needs Improvement</v>
      </c>
    </row>
    <row r="69" spans="1:13" x14ac:dyDescent="0.35">
      <c r="A69">
        <v>68</v>
      </c>
      <c r="B69" t="s">
        <v>73</v>
      </c>
      <c r="C69" s="1" t="s">
        <v>163</v>
      </c>
      <c r="D69" t="s">
        <v>174</v>
      </c>
      <c r="E69" t="s">
        <v>179</v>
      </c>
      <c r="F69" t="s">
        <v>191</v>
      </c>
      <c r="G69">
        <v>23</v>
      </c>
      <c r="H69" t="s">
        <v>194</v>
      </c>
      <c r="I69">
        <v>1</v>
      </c>
      <c r="J69" t="s">
        <v>194</v>
      </c>
      <c r="K69">
        <v>1</v>
      </c>
      <c r="L69">
        <f t="shared" si="2"/>
        <v>0</v>
      </c>
      <c r="M69" t="str">
        <f t="shared" si="3"/>
        <v>On Track</v>
      </c>
    </row>
    <row r="70" spans="1:13" x14ac:dyDescent="0.35">
      <c r="A70">
        <v>69</v>
      </c>
      <c r="B70" t="s">
        <v>74</v>
      </c>
      <c r="C70" s="1" t="s">
        <v>164</v>
      </c>
      <c r="D70" t="s">
        <v>168</v>
      </c>
      <c r="E70" t="s">
        <v>180</v>
      </c>
      <c r="F70" t="s">
        <v>186</v>
      </c>
      <c r="G70">
        <v>10</v>
      </c>
      <c r="H70" t="s">
        <v>197</v>
      </c>
      <c r="I70">
        <v>3</v>
      </c>
      <c r="J70" t="s">
        <v>196</v>
      </c>
      <c r="K70">
        <v>4</v>
      </c>
      <c r="L70">
        <f t="shared" si="2"/>
        <v>1</v>
      </c>
      <c r="M70" t="str">
        <f t="shared" si="3"/>
        <v>Needs Improvement</v>
      </c>
    </row>
    <row r="71" spans="1:13" x14ac:dyDescent="0.35">
      <c r="A71">
        <v>70</v>
      </c>
      <c r="B71" t="s">
        <v>75</v>
      </c>
      <c r="C71" s="1" t="s">
        <v>165</v>
      </c>
      <c r="D71" t="s">
        <v>171</v>
      </c>
      <c r="E71" t="s">
        <v>181</v>
      </c>
      <c r="F71" t="s">
        <v>188</v>
      </c>
      <c r="G71">
        <v>25</v>
      </c>
      <c r="H71" t="s">
        <v>194</v>
      </c>
      <c r="I71">
        <v>1</v>
      </c>
      <c r="J71" t="s">
        <v>197</v>
      </c>
      <c r="K71">
        <v>3</v>
      </c>
      <c r="L71">
        <f t="shared" si="2"/>
        <v>2</v>
      </c>
      <c r="M71" t="str">
        <f t="shared" si="3"/>
        <v>Needs Improvement</v>
      </c>
    </row>
    <row r="72" spans="1:13" x14ac:dyDescent="0.35">
      <c r="A72">
        <v>71</v>
      </c>
      <c r="B72" t="s">
        <v>76</v>
      </c>
      <c r="C72" s="1" t="s">
        <v>161</v>
      </c>
      <c r="D72" t="s">
        <v>175</v>
      </c>
      <c r="E72" t="s">
        <v>177</v>
      </c>
      <c r="F72" t="s">
        <v>184</v>
      </c>
      <c r="G72">
        <v>35</v>
      </c>
      <c r="H72" t="s">
        <v>197</v>
      </c>
      <c r="I72">
        <v>3</v>
      </c>
      <c r="J72" t="s">
        <v>196</v>
      </c>
      <c r="K72">
        <v>4</v>
      </c>
      <c r="L72">
        <f t="shared" si="2"/>
        <v>1</v>
      </c>
      <c r="M72" t="str">
        <f t="shared" si="3"/>
        <v>Needs Improvement</v>
      </c>
    </row>
    <row r="73" spans="1:13" x14ac:dyDescent="0.35">
      <c r="A73">
        <v>72</v>
      </c>
      <c r="B73" t="s">
        <v>77</v>
      </c>
      <c r="C73" s="1" t="s">
        <v>164</v>
      </c>
      <c r="D73" t="s">
        <v>168</v>
      </c>
      <c r="E73" t="s">
        <v>180</v>
      </c>
      <c r="F73" t="s">
        <v>186</v>
      </c>
      <c r="G73">
        <v>10</v>
      </c>
      <c r="H73" t="s">
        <v>196</v>
      </c>
      <c r="I73">
        <v>4</v>
      </c>
      <c r="J73" t="s">
        <v>198</v>
      </c>
      <c r="K73">
        <v>5</v>
      </c>
      <c r="L73">
        <f t="shared" si="2"/>
        <v>1</v>
      </c>
      <c r="M73" t="str">
        <f t="shared" si="3"/>
        <v>Needs Improvement</v>
      </c>
    </row>
    <row r="74" spans="1:13" x14ac:dyDescent="0.35">
      <c r="A74">
        <v>73</v>
      </c>
      <c r="B74" t="s">
        <v>78</v>
      </c>
      <c r="C74" s="1" t="s">
        <v>162</v>
      </c>
      <c r="D74" t="s">
        <v>170</v>
      </c>
      <c r="E74" t="s">
        <v>178</v>
      </c>
      <c r="F74" t="s">
        <v>185</v>
      </c>
      <c r="G74">
        <v>30</v>
      </c>
      <c r="H74" t="s">
        <v>198</v>
      </c>
      <c r="I74">
        <v>5</v>
      </c>
      <c r="J74" t="s">
        <v>198</v>
      </c>
      <c r="K74">
        <v>5</v>
      </c>
      <c r="L74">
        <f t="shared" si="2"/>
        <v>0</v>
      </c>
      <c r="M74" t="str">
        <f t="shared" si="3"/>
        <v>On Track</v>
      </c>
    </row>
    <row r="75" spans="1:13" x14ac:dyDescent="0.35">
      <c r="A75">
        <v>74</v>
      </c>
      <c r="B75" t="s">
        <v>79</v>
      </c>
      <c r="C75" s="1" t="s">
        <v>166</v>
      </c>
      <c r="D75" t="s">
        <v>172</v>
      </c>
      <c r="E75" t="s">
        <v>182</v>
      </c>
      <c r="F75" t="s">
        <v>187</v>
      </c>
      <c r="G75">
        <v>17</v>
      </c>
      <c r="H75" t="s">
        <v>195</v>
      </c>
      <c r="I75">
        <v>2</v>
      </c>
      <c r="J75" t="s">
        <v>194</v>
      </c>
      <c r="K75">
        <v>1</v>
      </c>
      <c r="L75">
        <f t="shared" si="2"/>
        <v>-1</v>
      </c>
      <c r="M75" t="str">
        <f t="shared" si="3"/>
        <v>Above Expectation</v>
      </c>
    </row>
    <row r="76" spans="1:13" x14ac:dyDescent="0.35">
      <c r="A76">
        <v>75</v>
      </c>
      <c r="B76" t="s">
        <v>80</v>
      </c>
      <c r="C76" s="1" t="s">
        <v>160</v>
      </c>
      <c r="D76" t="s">
        <v>169</v>
      </c>
      <c r="E76" t="s">
        <v>176</v>
      </c>
      <c r="F76" t="s">
        <v>189</v>
      </c>
      <c r="G76">
        <v>20</v>
      </c>
      <c r="H76" t="s">
        <v>198</v>
      </c>
      <c r="I76">
        <v>5</v>
      </c>
      <c r="J76" t="s">
        <v>198</v>
      </c>
      <c r="K76">
        <v>5</v>
      </c>
      <c r="L76">
        <f t="shared" si="2"/>
        <v>0</v>
      </c>
      <c r="M76" t="str">
        <f t="shared" si="3"/>
        <v>On Track</v>
      </c>
    </row>
    <row r="77" spans="1:13" x14ac:dyDescent="0.35">
      <c r="A77">
        <v>76</v>
      </c>
      <c r="B77" t="s">
        <v>81</v>
      </c>
      <c r="C77" s="1" t="s">
        <v>167</v>
      </c>
      <c r="D77" t="s">
        <v>173</v>
      </c>
      <c r="E77" t="s">
        <v>183</v>
      </c>
      <c r="F77" t="s">
        <v>190</v>
      </c>
      <c r="G77">
        <v>15</v>
      </c>
      <c r="H77" t="s">
        <v>196</v>
      </c>
      <c r="I77">
        <v>4</v>
      </c>
      <c r="J77" t="s">
        <v>198</v>
      </c>
      <c r="K77">
        <v>5</v>
      </c>
      <c r="L77">
        <f t="shared" si="2"/>
        <v>1</v>
      </c>
      <c r="M77" t="str">
        <f t="shared" si="3"/>
        <v>Needs Improvement</v>
      </c>
    </row>
    <row r="78" spans="1:13" x14ac:dyDescent="0.35">
      <c r="A78">
        <v>77</v>
      </c>
      <c r="B78" t="s">
        <v>82</v>
      </c>
      <c r="C78" s="1" t="s">
        <v>163</v>
      </c>
      <c r="D78" t="s">
        <v>174</v>
      </c>
      <c r="E78" t="s">
        <v>179</v>
      </c>
      <c r="F78" t="s">
        <v>191</v>
      </c>
      <c r="G78">
        <v>23</v>
      </c>
      <c r="H78" t="s">
        <v>194</v>
      </c>
      <c r="I78">
        <v>1</v>
      </c>
      <c r="J78" t="s">
        <v>195</v>
      </c>
      <c r="K78">
        <v>2</v>
      </c>
      <c r="L78">
        <f t="shared" si="2"/>
        <v>1</v>
      </c>
      <c r="M78" t="str">
        <f t="shared" si="3"/>
        <v>Needs Improvement</v>
      </c>
    </row>
    <row r="79" spans="1:13" x14ac:dyDescent="0.35">
      <c r="A79">
        <v>78</v>
      </c>
      <c r="B79" t="s">
        <v>83</v>
      </c>
      <c r="C79" s="1" t="s">
        <v>165</v>
      </c>
      <c r="D79" t="s">
        <v>171</v>
      </c>
      <c r="E79" t="s">
        <v>181</v>
      </c>
      <c r="F79" t="s">
        <v>188</v>
      </c>
      <c r="G79">
        <v>25</v>
      </c>
      <c r="H79" t="s">
        <v>195</v>
      </c>
      <c r="I79">
        <v>2</v>
      </c>
      <c r="J79" t="s">
        <v>196</v>
      </c>
      <c r="K79">
        <v>4</v>
      </c>
      <c r="L79">
        <f t="shared" si="2"/>
        <v>2</v>
      </c>
      <c r="M79" t="str">
        <f t="shared" si="3"/>
        <v>Needs Improvement</v>
      </c>
    </row>
    <row r="80" spans="1:13" x14ac:dyDescent="0.35">
      <c r="A80">
        <v>79</v>
      </c>
      <c r="B80" t="s">
        <v>84</v>
      </c>
      <c r="C80" s="1" t="s">
        <v>161</v>
      </c>
      <c r="D80" t="s">
        <v>175</v>
      </c>
      <c r="E80" t="s">
        <v>177</v>
      </c>
      <c r="F80" t="s">
        <v>184</v>
      </c>
      <c r="G80">
        <v>35</v>
      </c>
      <c r="H80" t="s">
        <v>196</v>
      </c>
      <c r="I80">
        <v>4</v>
      </c>
      <c r="J80" t="s">
        <v>197</v>
      </c>
      <c r="K80">
        <v>3</v>
      </c>
      <c r="L80">
        <f t="shared" si="2"/>
        <v>-1</v>
      </c>
      <c r="M80" t="str">
        <f t="shared" si="3"/>
        <v>Above Expectation</v>
      </c>
    </row>
    <row r="81" spans="1:13" x14ac:dyDescent="0.35">
      <c r="A81">
        <v>80</v>
      </c>
      <c r="B81" t="s">
        <v>85</v>
      </c>
      <c r="C81" s="1" t="s">
        <v>160</v>
      </c>
      <c r="D81" t="s">
        <v>169</v>
      </c>
      <c r="E81" t="s">
        <v>192</v>
      </c>
      <c r="F81" t="s">
        <v>189</v>
      </c>
      <c r="G81">
        <v>20</v>
      </c>
      <c r="H81" t="s">
        <v>198</v>
      </c>
      <c r="I81">
        <v>5</v>
      </c>
      <c r="J81" t="s">
        <v>198</v>
      </c>
      <c r="K81">
        <v>5</v>
      </c>
      <c r="L81">
        <f t="shared" si="2"/>
        <v>0</v>
      </c>
      <c r="M81" t="str">
        <f t="shared" si="3"/>
        <v>On Track</v>
      </c>
    </row>
    <row r="82" spans="1:13" x14ac:dyDescent="0.35">
      <c r="A82">
        <v>81</v>
      </c>
      <c r="B82" t="s">
        <v>86</v>
      </c>
      <c r="C82" s="1" t="s">
        <v>162</v>
      </c>
      <c r="D82" t="s">
        <v>170</v>
      </c>
      <c r="E82" t="s">
        <v>178</v>
      </c>
      <c r="F82" t="s">
        <v>185</v>
      </c>
      <c r="G82">
        <v>30</v>
      </c>
      <c r="H82" t="s">
        <v>194</v>
      </c>
      <c r="I82">
        <v>1</v>
      </c>
      <c r="J82" t="s">
        <v>195</v>
      </c>
      <c r="K82">
        <v>2</v>
      </c>
      <c r="L82">
        <f t="shared" si="2"/>
        <v>1</v>
      </c>
      <c r="M82" t="str">
        <f t="shared" si="3"/>
        <v>Needs Improvement</v>
      </c>
    </row>
    <row r="83" spans="1:13" x14ac:dyDescent="0.35">
      <c r="A83">
        <v>82</v>
      </c>
      <c r="B83" t="s">
        <v>87</v>
      </c>
      <c r="C83" s="1" t="s">
        <v>167</v>
      </c>
      <c r="D83" t="s">
        <v>173</v>
      </c>
      <c r="E83" t="s">
        <v>183</v>
      </c>
      <c r="F83" t="s">
        <v>190</v>
      </c>
      <c r="G83">
        <v>15</v>
      </c>
      <c r="H83" t="s">
        <v>197</v>
      </c>
      <c r="I83">
        <v>3</v>
      </c>
      <c r="J83" t="s">
        <v>197</v>
      </c>
      <c r="K83">
        <v>3</v>
      </c>
      <c r="L83">
        <f t="shared" si="2"/>
        <v>0</v>
      </c>
      <c r="M83" t="str">
        <f t="shared" si="3"/>
        <v>On Track</v>
      </c>
    </row>
    <row r="84" spans="1:13" x14ac:dyDescent="0.35">
      <c r="A84">
        <v>83</v>
      </c>
      <c r="B84" t="s">
        <v>88</v>
      </c>
      <c r="C84" s="1" t="s">
        <v>163</v>
      </c>
      <c r="D84" t="s">
        <v>174</v>
      </c>
      <c r="E84" t="s">
        <v>179</v>
      </c>
      <c r="F84" t="s">
        <v>191</v>
      </c>
      <c r="G84">
        <v>23</v>
      </c>
      <c r="H84" t="s">
        <v>195</v>
      </c>
      <c r="I84">
        <v>2</v>
      </c>
      <c r="J84" t="s">
        <v>196</v>
      </c>
      <c r="K84">
        <v>4</v>
      </c>
      <c r="L84">
        <f t="shared" si="2"/>
        <v>2</v>
      </c>
      <c r="M84" t="str">
        <f t="shared" si="3"/>
        <v>Needs Improvement</v>
      </c>
    </row>
    <row r="85" spans="1:13" x14ac:dyDescent="0.35">
      <c r="A85">
        <v>84</v>
      </c>
      <c r="B85" t="s">
        <v>89</v>
      </c>
      <c r="C85" s="1" t="s">
        <v>164</v>
      </c>
      <c r="D85" t="s">
        <v>168</v>
      </c>
      <c r="E85" t="s">
        <v>180</v>
      </c>
      <c r="F85" t="s">
        <v>186</v>
      </c>
      <c r="G85">
        <v>10</v>
      </c>
      <c r="H85" t="s">
        <v>195</v>
      </c>
      <c r="I85">
        <v>2</v>
      </c>
      <c r="J85" t="s">
        <v>198</v>
      </c>
      <c r="K85">
        <v>5</v>
      </c>
      <c r="L85">
        <f t="shared" si="2"/>
        <v>3</v>
      </c>
      <c r="M85" t="str">
        <f t="shared" si="3"/>
        <v>Needs Improvement</v>
      </c>
    </row>
    <row r="86" spans="1:13" x14ac:dyDescent="0.35">
      <c r="A86">
        <v>85</v>
      </c>
      <c r="B86" t="s">
        <v>90</v>
      </c>
      <c r="C86" s="1" t="s">
        <v>160</v>
      </c>
      <c r="D86" t="s">
        <v>169</v>
      </c>
      <c r="E86" t="s">
        <v>176</v>
      </c>
      <c r="F86" t="s">
        <v>189</v>
      </c>
      <c r="G86">
        <v>20</v>
      </c>
      <c r="H86" t="s">
        <v>194</v>
      </c>
      <c r="I86">
        <v>1</v>
      </c>
      <c r="J86" t="s">
        <v>194</v>
      </c>
      <c r="K86">
        <v>1</v>
      </c>
      <c r="L86">
        <f t="shared" si="2"/>
        <v>0</v>
      </c>
      <c r="M86" t="str">
        <f t="shared" si="3"/>
        <v>On Track</v>
      </c>
    </row>
    <row r="87" spans="1:13" x14ac:dyDescent="0.35">
      <c r="A87">
        <v>86</v>
      </c>
      <c r="B87" t="s">
        <v>91</v>
      </c>
      <c r="C87" s="1" t="s">
        <v>161</v>
      </c>
      <c r="D87" t="s">
        <v>175</v>
      </c>
      <c r="E87" t="s">
        <v>177</v>
      </c>
      <c r="F87" t="s">
        <v>184</v>
      </c>
      <c r="G87">
        <v>35</v>
      </c>
      <c r="H87" t="s">
        <v>197</v>
      </c>
      <c r="I87">
        <v>3</v>
      </c>
      <c r="J87" t="s">
        <v>196</v>
      </c>
      <c r="K87">
        <v>4</v>
      </c>
      <c r="L87">
        <f t="shared" si="2"/>
        <v>1</v>
      </c>
      <c r="M87" t="str">
        <f t="shared" si="3"/>
        <v>Needs Improvement</v>
      </c>
    </row>
    <row r="88" spans="1:13" x14ac:dyDescent="0.35">
      <c r="A88">
        <v>87</v>
      </c>
      <c r="B88" t="s">
        <v>92</v>
      </c>
      <c r="C88" s="1" t="s">
        <v>166</v>
      </c>
      <c r="D88" t="s">
        <v>172</v>
      </c>
      <c r="E88" t="s">
        <v>182</v>
      </c>
      <c r="F88" t="s">
        <v>187</v>
      </c>
      <c r="G88">
        <v>17</v>
      </c>
      <c r="H88" t="s">
        <v>197</v>
      </c>
      <c r="I88">
        <v>3</v>
      </c>
      <c r="J88" t="s">
        <v>197</v>
      </c>
      <c r="K88">
        <v>3</v>
      </c>
      <c r="L88">
        <f t="shared" si="2"/>
        <v>0</v>
      </c>
      <c r="M88" t="str">
        <f t="shared" si="3"/>
        <v>On Track</v>
      </c>
    </row>
    <row r="89" spans="1:13" x14ac:dyDescent="0.35">
      <c r="A89">
        <v>88</v>
      </c>
      <c r="B89" t="s">
        <v>93</v>
      </c>
      <c r="C89" s="1" t="s">
        <v>162</v>
      </c>
      <c r="D89" t="s">
        <v>170</v>
      </c>
      <c r="E89" t="s">
        <v>178</v>
      </c>
      <c r="F89" t="s">
        <v>185</v>
      </c>
      <c r="G89">
        <v>30</v>
      </c>
      <c r="H89" t="s">
        <v>194</v>
      </c>
      <c r="I89">
        <v>1</v>
      </c>
      <c r="J89" t="s">
        <v>195</v>
      </c>
      <c r="K89">
        <v>2</v>
      </c>
      <c r="L89">
        <f t="shared" si="2"/>
        <v>1</v>
      </c>
      <c r="M89" t="str">
        <f t="shared" si="3"/>
        <v>Needs Improvement</v>
      </c>
    </row>
    <row r="90" spans="1:13" x14ac:dyDescent="0.35">
      <c r="A90">
        <v>89</v>
      </c>
      <c r="B90" t="s">
        <v>94</v>
      </c>
      <c r="C90" s="1" t="s">
        <v>165</v>
      </c>
      <c r="D90" t="s">
        <v>171</v>
      </c>
      <c r="E90" t="s">
        <v>181</v>
      </c>
      <c r="F90" t="s">
        <v>188</v>
      </c>
      <c r="G90">
        <v>25</v>
      </c>
      <c r="H90" t="s">
        <v>196</v>
      </c>
      <c r="I90">
        <v>4</v>
      </c>
      <c r="J90" t="s">
        <v>198</v>
      </c>
      <c r="K90">
        <v>5</v>
      </c>
      <c r="L90">
        <f t="shared" si="2"/>
        <v>1</v>
      </c>
      <c r="M90" t="str">
        <f t="shared" si="3"/>
        <v>Needs Improvement</v>
      </c>
    </row>
    <row r="91" spans="1:13" x14ac:dyDescent="0.35">
      <c r="A91">
        <v>90</v>
      </c>
      <c r="B91" t="s">
        <v>95</v>
      </c>
      <c r="C91" s="1" t="s">
        <v>161</v>
      </c>
      <c r="D91" t="s">
        <v>175</v>
      </c>
      <c r="E91" t="s">
        <v>177</v>
      </c>
      <c r="F91" t="s">
        <v>184</v>
      </c>
      <c r="G91">
        <v>35</v>
      </c>
      <c r="H91" t="s">
        <v>195</v>
      </c>
      <c r="I91">
        <v>2</v>
      </c>
      <c r="J91" t="s">
        <v>197</v>
      </c>
      <c r="K91">
        <v>3</v>
      </c>
      <c r="L91">
        <f t="shared" si="2"/>
        <v>1</v>
      </c>
      <c r="M91" t="str">
        <f t="shared" si="3"/>
        <v>Needs Improvement</v>
      </c>
    </row>
    <row r="92" spans="1:13" x14ac:dyDescent="0.35">
      <c r="A92">
        <v>91</v>
      </c>
      <c r="B92" t="s">
        <v>96</v>
      </c>
      <c r="C92" s="1" t="s">
        <v>167</v>
      </c>
      <c r="D92" t="s">
        <v>173</v>
      </c>
      <c r="E92" t="s">
        <v>183</v>
      </c>
      <c r="F92" t="s">
        <v>190</v>
      </c>
      <c r="G92">
        <v>15</v>
      </c>
      <c r="H92" t="s">
        <v>196</v>
      </c>
      <c r="I92">
        <v>4</v>
      </c>
      <c r="J92" t="s">
        <v>198</v>
      </c>
      <c r="K92">
        <v>5</v>
      </c>
      <c r="L92">
        <f t="shared" si="2"/>
        <v>1</v>
      </c>
      <c r="M92" t="str">
        <f t="shared" si="3"/>
        <v>Needs Improvement</v>
      </c>
    </row>
    <row r="93" spans="1:13" x14ac:dyDescent="0.35">
      <c r="A93">
        <v>92</v>
      </c>
      <c r="B93" t="s">
        <v>97</v>
      </c>
      <c r="C93" s="1" t="s">
        <v>160</v>
      </c>
      <c r="D93" t="s">
        <v>169</v>
      </c>
      <c r="E93" t="s">
        <v>176</v>
      </c>
      <c r="F93" t="s">
        <v>189</v>
      </c>
      <c r="G93">
        <v>20</v>
      </c>
      <c r="H93" t="s">
        <v>194</v>
      </c>
      <c r="I93">
        <v>1</v>
      </c>
      <c r="J93" t="s">
        <v>195</v>
      </c>
      <c r="K93">
        <v>2</v>
      </c>
      <c r="L93">
        <f t="shared" si="2"/>
        <v>1</v>
      </c>
      <c r="M93" t="str">
        <f t="shared" si="3"/>
        <v>Needs Improvement</v>
      </c>
    </row>
    <row r="94" spans="1:13" x14ac:dyDescent="0.35">
      <c r="A94">
        <v>93</v>
      </c>
      <c r="B94" t="s">
        <v>98</v>
      </c>
      <c r="C94" s="1" t="s">
        <v>163</v>
      </c>
      <c r="D94" t="s">
        <v>174</v>
      </c>
      <c r="E94" t="s">
        <v>179</v>
      </c>
      <c r="F94" t="s">
        <v>191</v>
      </c>
      <c r="G94">
        <v>23</v>
      </c>
      <c r="H94" t="s">
        <v>195</v>
      </c>
      <c r="I94">
        <v>2</v>
      </c>
      <c r="J94" t="s">
        <v>197</v>
      </c>
      <c r="K94">
        <v>3</v>
      </c>
      <c r="L94">
        <f t="shared" si="2"/>
        <v>1</v>
      </c>
      <c r="M94" t="str">
        <f t="shared" si="3"/>
        <v>Needs Improvement</v>
      </c>
    </row>
    <row r="95" spans="1:13" x14ac:dyDescent="0.35">
      <c r="A95">
        <v>94</v>
      </c>
      <c r="B95" t="s">
        <v>99</v>
      </c>
      <c r="C95" s="1" t="s">
        <v>164</v>
      </c>
      <c r="D95" t="s">
        <v>168</v>
      </c>
      <c r="E95" t="s">
        <v>180</v>
      </c>
      <c r="F95" t="s">
        <v>186</v>
      </c>
      <c r="G95">
        <v>10</v>
      </c>
      <c r="H95" t="s">
        <v>198</v>
      </c>
      <c r="I95">
        <v>5</v>
      </c>
      <c r="J95" t="s">
        <v>198</v>
      </c>
      <c r="K95">
        <v>5</v>
      </c>
      <c r="L95">
        <f t="shared" si="2"/>
        <v>0</v>
      </c>
      <c r="M95" t="str">
        <f t="shared" si="3"/>
        <v>On Track</v>
      </c>
    </row>
    <row r="96" spans="1:13" x14ac:dyDescent="0.35">
      <c r="A96">
        <v>95</v>
      </c>
      <c r="B96" t="s">
        <v>100</v>
      </c>
      <c r="C96" s="1" t="s">
        <v>166</v>
      </c>
      <c r="D96" t="s">
        <v>172</v>
      </c>
      <c r="E96" t="s">
        <v>182</v>
      </c>
      <c r="F96" t="s">
        <v>187</v>
      </c>
      <c r="G96">
        <v>17</v>
      </c>
      <c r="H96" t="s">
        <v>195</v>
      </c>
      <c r="I96">
        <v>2</v>
      </c>
      <c r="J96" t="s">
        <v>196</v>
      </c>
      <c r="K96">
        <v>4</v>
      </c>
      <c r="L96">
        <f t="shared" si="2"/>
        <v>2</v>
      </c>
      <c r="M96" t="str">
        <f t="shared" si="3"/>
        <v>Needs Improvement</v>
      </c>
    </row>
    <row r="97" spans="1:13" x14ac:dyDescent="0.35">
      <c r="A97">
        <v>96</v>
      </c>
      <c r="B97" t="s">
        <v>101</v>
      </c>
      <c r="C97" s="1" t="s">
        <v>167</v>
      </c>
      <c r="D97" t="s">
        <v>173</v>
      </c>
      <c r="E97" t="s">
        <v>183</v>
      </c>
      <c r="F97" t="s">
        <v>190</v>
      </c>
      <c r="G97">
        <v>15</v>
      </c>
      <c r="H97" t="s">
        <v>194</v>
      </c>
      <c r="I97">
        <v>1</v>
      </c>
      <c r="J97" t="s">
        <v>198</v>
      </c>
      <c r="K97">
        <v>5</v>
      </c>
      <c r="L97">
        <f t="shared" si="2"/>
        <v>4</v>
      </c>
      <c r="M97" t="str">
        <f t="shared" si="3"/>
        <v>Needs Improvement</v>
      </c>
    </row>
    <row r="98" spans="1:13" x14ac:dyDescent="0.35">
      <c r="A98">
        <v>97</v>
      </c>
      <c r="B98" t="s">
        <v>102</v>
      </c>
      <c r="C98" s="1" t="s">
        <v>163</v>
      </c>
      <c r="D98" t="s">
        <v>174</v>
      </c>
      <c r="E98" t="s">
        <v>179</v>
      </c>
      <c r="F98" t="s">
        <v>191</v>
      </c>
      <c r="G98">
        <v>23</v>
      </c>
      <c r="H98" t="s">
        <v>196</v>
      </c>
      <c r="I98">
        <v>4</v>
      </c>
      <c r="J98" t="s">
        <v>198</v>
      </c>
      <c r="K98">
        <v>5</v>
      </c>
      <c r="L98">
        <f t="shared" si="2"/>
        <v>1</v>
      </c>
      <c r="M98" t="str">
        <f t="shared" si="3"/>
        <v>Needs Improvement</v>
      </c>
    </row>
    <row r="99" spans="1:13" x14ac:dyDescent="0.35">
      <c r="A99">
        <v>98</v>
      </c>
      <c r="B99" t="s">
        <v>103</v>
      </c>
      <c r="C99" s="1" t="s">
        <v>162</v>
      </c>
      <c r="D99" t="s">
        <v>170</v>
      </c>
      <c r="E99" t="s">
        <v>178</v>
      </c>
      <c r="F99" t="s">
        <v>185</v>
      </c>
      <c r="G99">
        <v>30</v>
      </c>
      <c r="H99" t="s">
        <v>195</v>
      </c>
      <c r="I99">
        <v>2</v>
      </c>
      <c r="J99" t="s">
        <v>197</v>
      </c>
      <c r="K99">
        <v>3</v>
      </c>
      <c r="L99">
        <f t="shared" si="2"/>
        <v>1</v>
      </c>
      <c r="M99" t="str">
        <f t="shared" si="3"/>
        <v>Needs Improvement</v>
      </c>
    </row>
    <row r="100" spans="1:13" x14ac:dyDescent="0.35">
      <c r="A100">
        <v>99</v>
      </c>
      <c r="B100" t="s">
        <v>104</v>
      </c>
      <c r="C100" s="1" t="s">
        <v>164</v>
      </c>
      <c r="D100" t="s">
        <v>168</v>
      </c>
      <c r="E100" t="s">
        <v>180</v>
      </c>
      <c r="F100" t="s">
        <v>186</v>
      </c>
      <c r="G100">
        <v>10</v>
      </c>
      <c r="H100" t="s">
        <v>196</v>
      </c>
      <c r="I100">
        <v>4</v>
      </c>
      <c r="J100" t="s">
        <v>196</v>
      </c>
      <c r="K100">
        <v>4</v>
      </c>
      <c r="L100">
        <f t="shared" si="2"/>
        <v>0</v>
      </c>
      <c r="M100" t="str">
        <f t="shared" si="3"/>
        <v>On Track</v>
      </c>
    </row>
    <row r="101" spans="1:13" x14ac:dyDescent="0.35">
      <c r="A101">
        <v>100</v>
      </c>
      <c r="B101" t="s">
        <v>105</v>
      </c>
      <c r="C101" s="1" t="s">
        <v>161</v>
      </c>
      <c r="D101" t="s">
        <v>175</v>
      </c>
      <c r="E101" t="s">
        <v>177</v>
      </c>
      <c r="F101" t="s">
        <v>184</v>
      </c>
      <c r="G101">
        <v>35</v>
      </c>
      <c r="H101" t="s">
        <v>196</v>
      </c>
      <c r="I101">
        <v>4</v>
      </c>
      <c r="J101" t="s">
        <v>198</v>
      </c>
      <c r="K101">
        <v>5</v>
      </c>
      <c r="L101">
        <f t="shared" si="2"/>
        <v>1</v>
      </c>
      <c r="M101" t="str">
        <f t="shared" si="3"/>
        <v>Needs Improvement</v>
      </c>
    </row>
    <row r="102" spans="1:13" x14ac:dyDescent="0.35">
      <c r="A102">
        <v>101</v>
      </c>
      <c r="B102" t="s">
        <v>106</v>
      </c>
      <c r="C102" s="1" t="s">
        <v>165</v>
      </c>
      <c r="D102" t="s">
        <v>171</v>
      </c>
      <c r="E102" t="s">
        <v>181</v>
      </c>
      <c r="F102" t="s">
        <v>188</v>
      </c>
      <c r="G102">
        <v>25</v>
      </c>
      <c r="H102" t="s">
        <v>195</v>
      </c>
      <c r="I102">
        <v>2</v>
      </c>
      <c r="J102" t="s">
        <v>197</v>
      </c>
      <c r="K102">
        <v>3</v>
      </c>
      <c r="L102">
        <f t="shared" si="2"/>
        <v>1</v>
      </c>
      <c r="M102" t="str">
        <f t="shared" si="3"/>
        <v>Needs Improvement</v>
      </c>
    </row>
    <row r="103" spans="1:13" x14ac:dyDescent="0.35">
      <c r="A103">
        <v>102</v>
      </c>
      <c r="B103" t="s">
        <v>107</v>
      </c>
      <c r="C103" s="1" t="s">
        <v>160</v>
      </c>
      <c r="D103" t="s">
        <v>169</v>
      </c>
      <c r="E103" t="s">
        <v>176</v>
      </c>
      <c r="F103" t="s">
        <v>189</v>
      </c>
      <c r="G103">
        <v>20</v>
      </c>
      <c r="H103" t="s">
        <v>194</v>
      </c>
      <c r="I103">
        <v>1</v>
      </c>
      <c r="J103" t="s">
        <v>195</v>
      </c>
      <c r="K103">
        <v>2</v>
      </c>
      <c r="L103">
        <f t="shared" si="2"/>
        <v>1</v>
      </c>
      <c r="M103" t="str">
        <f t="shared" si="3"/>
        <v>Needs Improvement</v>
      </c>
    </row>
    <row r="104" spans="1:13" x14ac:dyDescent="0.35">
      <c r="A104">
        <v>103</v>
      </c>
      <c r="B104" t="s">
        <v>108</v>
      </c>
      <c r="C104" s="1" t="s">
        <v>164</v>
      </c>
      <c r="D104" t="s">
        <v>168</v>
      </c>
      <c r="E104" t="s">
        <v>180</v>
      </c>
      <c r="F104" t="s">
        <v>186</v>
      </c>
      <c r="G104">
        <v>10</v>
      </c>
      <c r="H104" t="s">
        <v>196</v>
      </c>
      <c r="I104">
        <v>4</v>
      </c>
      <c r="J104" t="s">
        <v>198</v>
      </c>
      <c r="K104">
        <v>5</v>
      </c>
      <c r="L104">
        <f t="shared" si="2"/>
        <v>1</v>
      </c>
      <c r="M104" t="str">
        <f t="shared" si="3"/>
        <v>Needs Improvement</v>
      </c>
    </row>
    <row r="105" spans="1:13" x14ac:dyDescent="0.35">
      <c r="A105">
        <v>104</v>
      </c>
      <c r="B105" t="s">
        <v>109</v>
      </c>
      <c r="C105" s="1" t="s">
        <v>163</v>
      </c>
      <c r="D105" t="s">
        <v>174</v>
      </c>
      <c r="E105" t="s">
        <v>179</v>
      </c>
      <c r="F105" t="s">
        <v>191</v>
      </c>
      <c r="G105">
        <v>23</v>
      </c>
      <c r="H105" t="s">
        <v>197</v>
      </c>
      <c r="I105">
        <v>3</v>
      </c>
      <c r="J105" t="s">
        <v>196</v>
      </c>
      <c r="K105">
        <v>4</v>
      </c>
      <c r="L105">
        <f t="shared" si="2"/>
        <v>1</v>
      </c>
      <c r="M105" t="str">
        <f t="shared" si="3"/>
        <v>Needs Improvement</v>
      </c>
    </row>
    <row r="106" spans="1:13" x14ac:dyDescent="0.35">
      <c r="A106">
        <v>105</v>
      </c>
      <c r="B106" t="s">
        <v>110</v>
      </c>
      <c r="C106" s="1" t="s">
        <v>166</v>
      </c>
      <c r="D106" t="s">
        <v>172</v>
      </c>
      <c r="E106" t="s">
        <v>182</v>
      </c>
      <c r="F106" t="s">
        <v>187</v>
      </c>
      <c r="G106">
        <v>17</v>
      </c>
      <c r="H106" t="s">
        <v>196</v>
      </c>
      <c r="I106">
        <v>4</v>
      </c>
      <c r="J106" t="s">
        <v>197</v>
      </c>
      <c r="K106">
        <v>3</v>
      </c>
      <c r="L106">
        <f t="shared" si="2"/>
        <v>-1</v>
      </c>
      <c r="M106" t="str">
        <f t="shared" si="3"/>
        <v>Above Expectation</v>
      </c>
    </row>
    <row r="107" spans="1:13" x14ac:dyDescent="0.35">
      <c r="A107">
        <v>106</v>
      </c>
      <c r="B107" t="s">
        <v>111</v>
      </c>
      <c r="C107" s="1" t="s">
        <v>162</v>
      </c>
      <c r="D107" t="s">
        <v>170</v>
      </c>
      <c r="E107" t="s">
        <v>178</v>
      </c>
      <c r="F107" t="s">
        <v>185</v>
      </c>
      <c r="G107">
        <v>30</v>
      </c>
      <c r="H107" t="s">
        <v>194</v>
      </c>
      <c r="I107">
        <v>1</v>
      </c>
      <c r="J107" t="s">
        <v>196</v>
      </c>
      <c r="K107">
        <v>4</v>
      </c>
      <c r="L107">
        <f t="shared" si="2"/>
        <v>3</v>
      </c>
      <c r="M107" t="str">
        <f t="shared" si="3"/>
        <v>Needs Improvement</v>
      </c>
    </row>
    <row r="108" spans="1:13" x14ac:dyDescent="0.35">
      <c r="A108">
        <v>107</v>
      </c>
      <c r="B108" t="s">
        <v>112</v>
      </c>
      <c r="C108" s="1" t="s">
        <v>161</v>
      </c>
      <c r="D108" t="s">
        <v>175</v>
      </c>
      <c r="E108" t="s">
        <v>177</v>
      </c>
      <c r="F108" t="s">
        <v>184</v>
      </c>
      <c r="G108">
        <v>35</v>
      </c>
      <c r="H108" t="s">
        <v>195</v>
      </c>
      <c r="I108">
        <v>2</v>
      </c>
      <c r="J108" t="s">
        <v>198</v>
      </c>
      <c r="K108">
        <v>5</v>
      </c>
      <c r="L108">
        <f t="shared" si="2"/>
        <v>3</v>
      </c>
      <c r="M108" t="str">
        <f t="shared" si="3"/>
        <v>Needs Improvement</v>
      </c>
    </row>
    <row r="109" spans="1:13" x14ac:dyDescent="0.35">
      <c r="A109">
        <v>108</v>
      </c>
      <c r="B109" t="s">
        <v>113</v>
      </c>
      <c r="C109" s="1" t="s">
        <v>163</v>
      </c>
      <c r="D109" t="s">
        <v>174</v>
      </c>
      <c r="E109" t="s">
        <v>179</v>
      </c>
      <c r="F109" t="s">
        <v>191</v>
      </c>
      <c r="G109">
        <v>23</v>
      </c>
      <c r="H109" t="s">
        <v>197</v>
      </c>
      <c r="I109">
        <v>3</v>
      </c>
      <c r="J109" t="s">
        <v>196</v>
      </c>
      <c r="K109">
        <v>4</v>
      </c>
      <c r="L109">
        <f t="shared" si="2"/>
        <v>1</v>
      </c>
      <c r="M109" t="str">
        <f t="shared" si="3"/>
        <v>Needs Improvement</v>
      </c>
    </row>
    <row r="110" spans="1:13" x14ac:dyDescent="0.35">
      <c r="A110">
        <v>109</v>
      </c>
      <c r="B110" t="s">
        <v>114</v>
      </c>
      <c r="C110" s="1" t="s">
        <v>167</v>
      </c>
      <c r="D110" t="s">
        <v>173</v>
      </c>
      <c r="E110" t="s">
        <v>183</v>
      </c>
      <c r="F110" t="s">
        <v>190</v>
      </c>
      <c r="G110">
        <v>15</v>
      </c>
      <c r="H110" t="s">
        <v>198</v>
      </c>
      <c r="I110">
        <v>5</v>
      </c>
      <c r="J110" t="s">
        <v>198</v>
      </c>
      <c r="K110">
        <v>5</v>
      </c>
      <c r="L110">
        <f t="shared" si="2"/>
        <v>0</v>
      </c>
      <c r="M110" t="str">
        <f t="shared" si="3"/>
        <v>On Track</v>
      </c>
    </row>
    <row r="111" spans="1:13" x14ac:dyDescent="0.35">
      <c r="A111">
        <v>110</v>
      </c>
      <c r="B111" t="s">
        <v>115</v>
      </c>
      <c r="C111" s="1" t="s">
        <v>166</v>
      </c>
      <c r="D111" t="s">
        <v>172</v>
      </c>
      <c r="E111" t="s">
        <v>182</v>
      </c>
      <c r="F111" t="s">
        <v>187</v>
      </c>
      <c r="G111">
        <v>17</v>
      </c>
      <c r="H111" t="s">
        <v>196</v>
      </c>
      <c r="I111">
        <v>4</v>
      </c>
      <c r="J111" t="s">
        <v>198</v>
      </c>
      <c r="K111">
        <v>5</v>
      </c>
      <c r="L111">
        <f t="shared" si="2"/>
        <v>1</v>
      </c>
      <c r="M111" t="str">
        <f t="shared" si="3"/>
        <v>Needs Improvement</v>
      </c>
    </row>
    <row r="112" spans="1:13" x14ac:dyDescent="0.35">
      <c r="A112">
        <v>111</v>
      </c>
      <c r="B112" t="s">
        <v>116</v>
      </c>
      <c r="C112" s="1" t="s">
        <v>165</v>
      </c>
      <c r="D112" t="s">
        <v>171</v>
      </c>
      <c r="E112" t="s">
        <v>181</v>
      </c>
      <c r="F112" t="s">
        <v>188</v>
      </c>
      <c r="G112">
        <v>25</v>
      </c>
      <c r="H112" t="s">
        <v>195</v>
      </c>
      <c r="I112">
        <v>2</v>
      </c>
      <c r="J112" t="s">
        <v>197</v>
      </c>
      <c r="K112">
        <v>3</v>
      </c>
      <c r="L112">
        <f t="shared" si="2"/>
        <v>1</v>
      </c>
      <c r="M112" t="str">
        <f t="shared" si="3"/>
        <v>Needs Improvement</v>
      </c>
    </row>
    <row r="113" spans="1:13" x14ac:dyDescent="0.35">
      <c r="A113">
        <v>112</v>
      </c>
      <c r="B113" t="s">
        <v>117</v>
      </c>
      <c r="C113" s="1" t="s">
        <v>163</v>
      </c>
      <c r="D113" t="s">
        <v>174</v>
      </c>
      <c r="E113" t="s">
        <v>179</v>
      </c>
      <c r="F113" t="s">
        <v>191</v>
      </c>
      <c r="G113">
        <v>23</v>
      </c>
      <c r="H113" t="s">
        <v>194</v>
      </c>
      <c r="I113">
        <v>1</v>
      </c>
      <c r="J113" t="s">
        <v>195</v>
      </c>
      <c r="K113">
        <v>2</v>
      </c>
      <c r="L113">
        <f t="shared" si="2"/>
        <v>1</v>
      </c>
      <c r="M113" t="str">
        <f t="shared" si="3"/>
        <v>Needs Improvement</v>
      </c>
    </row>
    <row r="114" spans="1:13" x14ac:dyDescent="0.35">
      <c r="A114">
        <v>113</v>
      </c>
      <c r="B114" t="s">
        <v>118</v>
      </c>
      <c r="C114" s="1" t="s">
        <v>164</v>
      </c>
      <c r="D114" t="s">
        <v>168</v>
      </c>
      <c r="E114" t="s">
        <v>180</v>
      </c>
      <c r="F114" t="s">
        <v>186</v>
      </c>
      <c r="G114">
        <v>10</v>
      </c>
      <c r="H114" t="s">
        <v>196</v>
      </c>
      <c r="I114">
        <v>4</v>
      </c>
      <c r="J114" t="s">
        <v>197</v>
      </c>
      <c r="K114">
        <v>3</v>
      </c>
      <c r="L114">
        <f t="shared" si="2"/>
        <v>-1</v>
      </c>
      <c r="M114" t="str">
        <f t="shared" si="3"/>
        <v>Above Expectation</v>
      </c>
    </row>
    <row r="115" spans="1:13" x14ac:dyDescent="0.35">
      <c r="A115">
        <v>114</v>
      </c>
      <c r="B115" t="s">
        <v>119</v>
      </c>
      <c r="C115" s="1" t="s">
        <v>161</v>
      </c>
      <c r="D115" t="s">
        <v>175</v>
      </c>
      <c r="E115" t="s">
        <v>177</v>
      </c>
      <c r="F115" t="s">
        <v>184</v>
      </c>
      <c r="G115">
        <v>35</v>
      </c>
      <c r="H115" t="s">
        <v>198</v>
      </c>
      <c r="I115">
        <v>5</v>
      </c>
      <c r="J115" t="s">
        <v>198</v>
      </c>
      <c r="K115">
        <v>5</v>
      </c>
      <c r="L115">
        <f t="shared" si="2"/>
        <v>0</v>
      </c>
      <c r="M115" t="str">
        <f t="shared" si="3"/>
        <v>On Track</v>
      </c>
    </row>
    <row r="116" spans="1:13" x14ac:dyDescent="0.35">
      <c r="A116">
        <v>115</v>
      </c>
      <c r="B116" t="s">
        <v>120</v>
      </c>
      <c r="C116" s="1" t="s">
        <v>162</v>
      </c>
      <c r="D116" t="s">
        <v>170</v>
      </c>
      <c r="E116" t="s">
        <v>178</v>
      </c>
      <c r="F116" t="s">
        <v>185</v>
      </c>
      <c r="G116">
        <v>30</v>
      </c>
      <c r="H116" t="s">
        <v>195</v>
      </c>
      <c r="I116">
        <v>2</v>
      </c>
      <c r="J116" t="s">
        <v>196</v>
      </c>
      <c r="K116">
        <v>4</v>
      </c>
      <c r="L116">
        <f t="shared" si="2"/>
        <v>2</v>
      </c>
      <c r="M116" t="str">
        <f t="shared" si="3"/>
        <v>Needs Improvement</v>
      </c>
    </row>
    <row r="117" spans="1:13" x14ac:dyDescent="0.35">
      <c r="A117">
        <v>116</v>
      </c>
      <c r="B117" t="s">
        <v>121</v>
      </c>
      <c r="C117" s="1" t="s">
        <v>166</v>
      </c>
      <c r="D117" t="s">
        <v>172</v>
      </c>
      <c r="E117" t="s">
        <v>182</v>
      </c>
      <c r="F117" t="s">
        <v>187</v>
      </c>
      <c r="G117">
        <v>17</v>
      </c>
      <c r="H117" t="s">
        <v>194</v>
      </c>
      <c r="I117">
        <v>1</v>
      </c>
      <c r="J117" t="s">
        <v>195</v>
      </c>
      <c r="K117">
        <v>2</v>
      </c>
      <c r="L117">
        <f t="shared" si="2"/>
        <v>1</v>
      </c>
      <c r="M117" t="str">
        <f t="shared" si="3"/>
        <v>Needs Improvement</v>
      </c>
    </row>
    <row r="118" spans="1:13" x14ac:dyDescent="0.35">
      <c r="A118">
        <v>117</v>
      </c>
      <c r="B118" t="s">
        <v>122</v>
      </c>
      <c r="C118" s="1" t="s">
        <v>164</v>
      </c>
      <c r="D118" t="s">
        <v>168</v>
      </c>
      <c r="E118" t="s">
        <v>180</v>
      </c>
      <c r="F118" t="s">
        <v>186</v>
      </c>
      <c r="G118">
        <v>10</v>
      </c>
      <c r="H118" t="s">
        <v>197</v>
      </c>
      <c r="I118">
        <v>3</v>
      </c>
      <c r="J118" t="s">
        <v>197</v>
      </c>
      <c r="K118">
        <v>3</v>
      </c>
      <c r="L118">
        <f t="shared" si="2"/>
        <v>0</v>
      </c>
      <c r="M118" t="str">
        <f t="shared" si="3"/>
        <v>On Track</v>
      </c>
    </row>
    <row r="119" spans="1:13" x14ac:dyDescent="0.35">
      <c r="A119">
        <v>118</v>
      </c>
      <c r="B119" t="s">
        <v>123</v>
      </c>
      <c r="C119" s="1" t="s">
        <v>163</v>
      </c>
      <c r="D119" t="s">
        <v>174</v>
      </c>
      <c r="E119" t="s">
        <v>179</v>
      </c>
      <c r="F119" t="s">
        <v>191</v>
      </c>
      <c r="G119">
        <v>23</v>
      </c>
      <c r="H119" t="s">
        <v>195</v>
      </c>
      <c r="I119">
        <v>2</v>
      </c>
      <c r="J119" t="s">
        <v>198</v>
      </c>
      <c r="K119">
        <v>5</v>
      </c>
      <c r="L119">
        <f t="shared" si="2"/>
        <v>3</v>
      </c>
      <c r="M119" t="str">
        <f t="shared" si="3"/>
        <v>Needs Improvement</v>
      </c>
    </row>
    <row r="120" spans="1:13" x14ac:dyDescent="0.35">
      <c r="A120">
        <v>119</v>
      </c>
      <c r="B120" t="s">
        <v>124</v>
      </c>
      <c r="C120" s="1" t="s">
        <v>166</v>
      </c>
      <c r="D120" t="s">
        <v>171</v>
      </c>
      <c r="E120" t="s">
        <v>181</v>
      </c>
      <c r="F120" t="s">
        <v>188</v>
      </c>
      <c r="G120">
        <v>25</v>
      </c>
      <c r="H120" t="s">
        <v>194</v>
      </c>
      <c r="I120">
        <v>1</v>
      </c>
      <c r="J120" t="s">
        <v>194</v>
      </c>
      <c r="K120">
        <v>1</v>
      </c>
      <c r="L120">
        <f t="shared" si="2"/>
        <v>0</v>
      </c>
      <c r="M120" t="str">
        <f t="shared" si="3"/>
        <v>On Track</v>
      </c>
    </row>
    <row r="121" spans="1:13" x14ac:dyDescent="0.35">
      <c r="A121">
        <v>120</v>
      </c>
      <c r="B121" t="s">
        <v>125</v>
      </c>
      <c r="C121" s="1" t="s">
        <v>160</v>
      </c>
      <c r="D121" t="s">
        <v>169</v>
      </c>
      <c r="E121" t="s">
        <v>176</v>
      </c>
      <c r="F121" t="s">
        <v>189</v>
      </c>
      <c r="G121">
        <v>20</v>
      </c>
      <c r="H121" t="s">
        <v>195</v>
      </c>
      <c r="I121">
        <v>2</v>
      </c>
      <c r="J121" t="s">
        <v>197</v>
      </c>
      <c r="K121">
        <v>3</v>
      </c>
      <c r="L121">
        <f t="shared" si="2"/>
        <v>1</v>
      </c>
      <c r="M121" t="str">
        <f t="shared" si="3"/>
        <v>Needs Improvement</v>
      </c>
    </row>
    <row r="122" spans="1:13" x14ac:dyDescent="0.35">
      <c r="A122">
        <v>121</v>
      </c>
      <c r="B122" t="s">
        <v>126</v>
      </c>
      <c r="C122" s="1" t="s">
        <v>161</v>
      </c>
      <c r="D122" t="s">
        <v>175</v>
      </c>
      <c r="E122" t="s">
        <v>177</v>
      </c>
      <c r="F122" t="s">
        <v>184</v>
      </c>
      <c r="G122">
        <v>35</v>
      </c>
      <c r="H122" t="s">
        <v>194</v>
      </c>
      <c r="I122">
        <v>1</v>
      </c>
      <c r="J122" t="s">
        <v>196</v>
      </c>
      <c r="K122">
        <v>4</v>
      </c>
      <c r="L122">
        <f t="shared" si="2"/>
        <v>3</v>
      </c>
      <c r="M122" t="str">
        <f t="shared" si="3"/>
        <v>Needs Improvement</v>
      </c>
    </row>
    <row r="123" spans="1:13" x14ac:dyDescent="0.35">
      <c r="A123">
        <v>122</v>
      </c>
      <c r="B123" t="s">
        <v>127</v>
      </c>
      <c r="C123" s="1" t="s">
        <v>162</v>
      </c>
      <c r="D123" t="s">
        <v>170</v>
      </c>
      <c r="E123" t="s">
        <v>178</v>
      </c>
      <c r="F123" t="s">
        <v>185</v>
      </c>
      <c r="G123">
        <v>30</v>
      </c>
      <c r="H123" t="s">
        <v>197</v>
      </c>
      <c r="I123">
        <v>3</v>
      </c>
      <c r="J123" t="s">
        <v>198</v>
      </c>
      <c r="K123">
        <v>5</v>
      </c>
      <c r="L123">
        <f t="shared" si="2"/>
        <v>2</v>
      </c>
      <c r="M123" t="str">
        <f t="shared" si="3"/>
        <v>Needs Improvement</v>
      </c>
    </row>
    <row r="124" spans="1:13" x14ac:dyDescent="0.35">
      <c r="A124">
        <v>123</v>
      </c>
      <c r="B124" t="s">
        <v>128</v>
      </c>
      <c r="C124" s="1" t="s">
        <v>164</v>
      </c>
      <c r="D124" t="s">
        <v>168</v>
      </c>
      <c r="E124" t="s">
        <v>180</v>
      </c>
      <c r="F124" t="s">
        <v>186</v>
      </c>
      <c r="G124">
        <v>10</v>
      </c>
      <c r="H124" t="s">
        <v>195</v>
      </c>
      <c r="I124">
        <v>2</v>
      </c>
      <c r="J124" t="s">
        <v>195</v>
      </c>
      <c r="K124">
        <v>2</v>
      </c>
      <c r="L124">
        <f t="shared" si="2"/>
        <v>0</v>
      </c>
      <c r="M124" t="str">
        <f t="shared" si="3"/>
        <v>On Track</v>
      </c>
    </row>
    <row r="125" spans="1:13" x14ac:dyDescent="0.35">
      <c r="A125">
        <v>124</v>
      </c>
      <c r="B125" t="s">
        <v>129</v>
      </c>
      <c r="C125" s="1" t="s">
        <v>163</v>
      </c>
      <c r="D125" t="s">
        <v>174</v>
      </c>
      <c r="E125" t="s">
        <v>179</v>
      </c>
      <c r="F125" t="s">
        <v>191</v>
      </c>
      <c r="G125">
        <v>23</v>
      </c>
      <c r="H125" t="s">
        <v>198</v>
      </c>
      <c r="I125">
        <v>5</v>
      </c>
      <c r="J125" t="s">
        <v>198</v>
      </c>
      <c r="K125">
        <v>5</v>
      </c>
      <c r="L125">
        <f t="shared" si="2"/>
        <v>0</v>
      </c>
      <c r="M125" t="str">
        <f t="shared" si="3"/>
        <v>On Track</v>
      </c>
    </row>
    <row r="126" spans="1:13" x14ac:dyDescent="0.35">
      <c r="A126">
        <v>125</v>
      </c>
      <c r="B126" t="s">
        <v>130</v>
      </c>
      <c r="C126" s="1" t="s">
        <v>165</v>
      </c>
      <c r="D126" t="s">
        <v>171</v>
      </c>
      <c r="E126" t="s">
        <v>181</v>
      </c>
      <c r="F126" t="s">
        <v>188</v>
      </c>
      <c r="G126">
        <v>25</v>
      </c>
      <c r="H126" t="s">
        <v>195</v>
      </c>
      <c r="I126">
        <v>2</v>
      </c>
      <c r="J126" t="s">
        <v>196</v>
      </c>
      <c r="K126">
        <v>4</v>
      </c>
      <c r="L126">
        <f t="shared" si="2"/>
        <v>2</v>
      </c>
      <c r="M126" t="str">
        <f t="shared" si="3"/>
        <v>Needs Improvement</v>
      </c>
    </row>
    <row r="127" spans="1:13" x14ac:dyDescent="0.35">
      <c r="A127">
        <v>126</v>
      </c>
      <c r="B127" t="s">
        <v>131</v>
      </c>
      <c r="C127" s="1" t="s">
        <v>166</v>
      </c>
      <c r="D127" t="s">
        <v>172</v>
      </c>
      <c r="E127" t="s">
        <v>182</v>
      </c>
      <c r="F127" t="s">
        <v>187</v>
      </c>
      <c r="G127">
        <v>17</v>
      </c>
      <c r="H127" t="s">
        <v>194</v>
      </c>
      <c r="I127">
        <v>1</v>
      </c>
      <c r="J127" t="s">
        <v>195</v>
      </c>
      <c r="K127">
        <v>2</v>
      </c>
      <c r="L127">
        <f t="shared" si="2"/>
        <v>1</v>
      </c>
      <c r="M127" t="str">
        <f t="shared" si="3"/>
        <v>Needs Improvement</v>
      </c>
    </row>
    <row r="128" spans="1:13" x14ac:dyDescent="0.35">
      <c r="A128">
        <v>127</v>
      </c>
      <c r="B128" t="s">
        <v>132</v>
      </c>
      <c r="C128" s="1" t="s">
        <v>167</v>
      </c>
      <c r="D128" t="s">
        <v>173</v>
      </c>
      <c r="E128" t="s">
        <v>183</v>
      </c>
      <c r="F128" t="s">
        <v>190</v>
      </c>
      <c r="G128">
        <v>15</v>
      </c>
      <c r="H128" t="s">
        <v>195</v>
      </c>
      <c r="I128">
        <v>2</v>
      </c>
      <c r="J128" t="s">
        <v>197</v>
      </c>
      <c r="K128">
        <v>3</v>
      </c>
      <c r="L128">
        <f t="shared" si="2"/>
        <v>1</v>
      </c>
      <c r="M128" t="str">
        <f t="shared" si="3"/>
        <v>Needs Improvement</v>
      </c>
    </row>
    <row r="129" spans="1:13" x14ac:dyDescent="0.35">
      <c r="A129">
        <v>128</v>
      </c>
      <c r="B129" t="s">
        <v>133</v>
      </c>
      <c r="C129" s="1" t="s">
        <v>160</v>
      </c>
      <c r="D129" t="s">
        <v>169</v>
      </c>
      <c r="E129" t="s">
        <v>176</v>
      </c>
      <c r="F129" t="s">
        <v>189</v>
      </c>
      <c r="G129">
        <v>20</v>
      </c>
      <c r="H129" t="s">
        <v>197</v>
      </c>
      <c r="I129">
        <v>3</v>
      </c>
      <c r="J129" t="s">
        <v>196</v>
      </c>
      <c r="K129">
        <v>4</v>
      </c>
      <c r="L129">
        <f t="shared" si="2"/>
        <v>1</v>
      </c>
      <c r="M129" t="str">
        <f t="shared" si="3"/>
        <v>Needs Improvement</v>
      </c>
    </row>
    <row r="130" spans="1:13" x14ac:dyDescent="0.35">
      <c r="A130">
        <v>129</v>
      </c>
      <c r="B130" t="s">
        <v>134</v>
      </c>
      <c r="C130" s="1" t="s">
        <v>165</v>
      </c>
      <c r="D130" t="s">
        <v>171</v>
      </c>
      <c r="E130" t="s">
        <v>181</v>
      </c>
      <c r="F130" t="s">
        <v>188</v>
      </c>
      <c r="G130">
        <v>25</v>
      </c>
      <c r="H130" t="s">
        <v>196</v>
      </c>
      <c r="I130">
        <v>4</v>
      </c>
      <c r="J130" t="s">
        <v>198</v>
      </c>
      <c r="K130">
        <v>5</v>
      </c>
      <c r="L130">
        <f t="shared" si="2"/>
        <v>1</v>
      </c>
      <c r="M130" t="str">
        <f t="shared" si="3"/>
        <v>Needs Improvement</v>
      </c>
    </row>
    <row r="131" spans="1:13" x14ac:dyDescent="0.35">
      <c r="A131">
        <v>130</v>
      </c>
      <c r="B131" t="s">
        <v>135</v>
      </c>
      <c r="C131" s="1" t="s">
        <v>166</v>
      </c>
      <c r="D131" t="s">
        <v>172</v>
      </c>
      <c r="E131" t="s">
        <v>182</v>
      </c>
      <c r="F131" t="s">
        <v>187</v>
      </c>
      <c r="G131">
        <v>17</v>
      </c>
      <c r="H131" t="s">
        <v>194</v>
      </c>
      <c r="I131">
        <v>1</v>
      </c>
      <c r="J131" t="s">
        <v>195</v>
      </c>
      <c r="K131">
        <v>2</v>
      </c>
      <c r="L131">
        <f t="shared" ref="L131:L151" si="4">K131-I131</f>
        <v>1</v>
      </c>
      <c r="M131" t="str">
        <f t="shared" ref="M131:M151" si="5">IF(L131&gt;0,"Needs Improvement",IF(L131=0,"On Track","Above Expectation"))</f>
        <v>Needs Improvement</v>
      </c>
    </row>
    <row r="132" spans="1:13" x14ac:dyDescent="0.35">
      <c r="A132">
        <v>131</v>
      </c>
      <c r="B132" t="s">
        <v>136</v>
      </c>
      <c r="C132" s="1" t="s">
        <v>164</v>
      </c>
      <c r="D132" t="s">
        <v>168</v>
      </c>
      <c r="E132" t="s">
        <v>180</v>
      </c>
      <c r="F132" t="s">
        <v>186</v>
      </c>
      <c r="G132">
        <v>10</v>
      </c>
      <c r="H132" t="s">
        <v>197</v>
      </c>
      <c r="I132">
        <v>3</v>
      </c>
      <c r="J132" t="s">
        <v>196</v>
      </c>
      <c r="K132">
        <v>4</v>
      </c>
      <c r="L132">
        <f t="shared" si="4"/>
        <v>1</v>
      </c>
      <c r="M132" t="str">
        <f t="shared" si="5"/>
        <v>Needs Improvement</v>
      </c>
    </row>
    <row r="133" spans="1:13" x14ac:dyDescent="0.35">
      <c r="A133">
        <v>132</v>
      </c>
      <c r="B133" t="s">
        <v>137</v>
      </c>
      <c r="C133" s="1" t="s">
        <v>161</v>
      </c>
      <c r="D133" t="s">
        <v>175</v>
      </c>
      <c r="E133" t="s">
        <v>177</v>
      </c>
      <c r="F133" t="s">
        <v>184</v>
      </c>
      <c r="G133">
        <v>35</v>
      </c>
      <c r="H133" t="s">
        <v>196</v>
      </c>
      <c r="I133">
        <v>4</v>
      </c>
      <c r="J133" t="s">
        <v>198</v>
      </c>
      <c r="K133">
        <v>5</v>
      </c>
      <c r="L133">
        <f t="shared" si="4"/>
        <v>1</v>
      </c>
      <c r="M133" t="str">
        <f t="shared" si="5"/>
        <v>Needs Improvement</v>
      </c>
    </row>
    <row r="134" spans="1:13" x14ac:dyDescent="0.35">
      <c r="A134">
        <v>133</v>
      </c>
      <c r="B134" t="s">
        <v>138</v>
      </c>
      <c r="C134" s="1" t="s">
        <v>162</v>
      </c>
      <c r="D134" t="s">
        <v>170</v>
      </c>
      <c r="E134" t="s">
        <v>178</v>
      </c>
      <c r="F134" t="s">
        <v>185</v>
      </c>
      <c r="G134">
        <v>30</v>
      </c>
      <c r="H134" t="s">
        <v>195</v>
      </c>
      <c r="I134">
        <v>2</v>
      </c>
      <c r="J134" t="s">
        <v>197</v>
      </c>
      <c r="K134">
        <v>3</v>
      </c>
      <c r="L134">
        <f t="shared" si="4"/>
        <v>1</v>
      </c>
      <c r="M134" t="str">
        <f t="shared" si="5"/>
        <v>Needs Improvement</v>
      </c>
    </row>
    <row r="135" spans="1:13" x14ac:dyDescent="0.35">
      <c r="A135">
        <v>134</v>
      </c>
      <c r="B135" t="s">
        <v>139</v>
      </c>
      <c r="C135" s="1" t="s">
        <v>160</v>
      </c>
      <c r="D135" t="s">
        <v>169</v>
      </c>
      <c r="E135" t="s">
        <v>176</v>
      </c>
      <c r="F135" t="s">
        <v>189</v>
      </c>
      <c r="G135">
        <v>20</v>
      </c>
      <c r="H135" t="s">
        <v>198</v>
      </c>
      <c r="I135">
        <v>5</v>
      </c>
      <c r="J135" t="s">
        <v>198</v>
      </c>
      <c r="K135">
        <v>5</v>
      </c>
      <c r="L135">
        <f t="shared" si="4"/>
        <v>0</v>
      </c>
      <c r="M135" t="str">
        <f t="shared" si="5"/>
        <v>On Track</v>
      </c>
    </row>
    <row r="136" spans="1:13" x14ac:dyDescent="0.35">
      <c r="A136">
        <v>135</v>
      </c>
      <c r="B136" t="s">
        <v>140</v>
      </c>
      <c r="C136" s="1" t="s">
        <v>165</v>
      </c>
      <c r="D136" t="s">
        <v>171</v>
      </c>
      <c r="E136" t="s">
        <v>181</v>
      </c>
      <c r="F136" t="s">
        <v>188</v>
      </c>
      <c r="G136">
        <v>25</v>
      </c>
      <c r="H136" t="s">
        <v>197</v>
      </c>
      <c r="I136">
        <v>3</v>
      </c>
      <c r="J136" t="s">
        <v>196</v>
      </c>
      <c r="K136">
        <v>4</v>
      </c>
      <c r="L136">
        <f t="shared" si="4"/>
        <v>1</v>
      </c>
      <c r="M136" t="str">
        <f t="shared" si="5"/>
        <v>Needs Improvement</v>
      </c>
    </row>
    <row r="137" spans="1:13" x14ac:dyDescent="0.35">
      <c r="A137">
        <v>136</v>
      </c>
      <c r="B137" t="s">
        <v>141</v>
      </c>
      <c r="C137" s="1" t="s">
        <v>167</v>
      </c>
      <c r="D137" t="s">
        <v>173</v>
      </c>
      <c r="E137" t="s">
        <v>183</v>
      </c>
      <c r="F137" t="s">
        <v>190</v>
      </c>
      <c r="G137">
        <v>15</v>
      </c>
      <c r="H137" t="s">
        <v>194</v>
      </c>
      <c r="I137">
        <v>1</v>
      </c>
      <c r="J137" t="s">
        <v>197</v>
      </c>
      <c r="K137">
        <v>3</v>
      </c>
      <c r="L137">
        <f t="shared" si="4"/>
        <v>2</v>
      </c>
      <c r="M137" t="str">
        <f t="shared" si="5"/>
        <v>Needs Improvement</v>
      </c>
    </row>
    <row r="138" spans="1:13" x14ac:dyDescent="0.35">
      <c r="A138">
        <v>137</v>
      </c>
      <c r="B138" t="s">
        <v>142</v>
      </c>
      <c r="C138" s="1" t="s">
        <v>166</v>
      </c>
      <c r="D138" t="s">
        <v>172</v>
      </c>
      <c r="E138" t="s">
        <v>182</v>
      </c>
      <c r="F138" t="s">
        <v>187</v>
      </c>
      <c r="G138">
        <v>17</v>
      </c>
      <c r="H138" t="s">
        <v>195</v>
      </c>
      <c r="I138">
        <v>2</v>
      </c>
      <c r="J138" t="s">
        <v>198</v>
      </c>
      <c r="K138">
        <v>5</v>
      </c>
      <c r="L138">
        <f t="shared" si="4"/>
        <v>3</v>
      </c>
      <c r="M138" t="str">
        <f t="shared" si="5"/>
        <v>Needs Improvement</v>
      </c>
    </row>
    <row r="139" spans="1:13" x14ac:dyDescent="0.35">
      <c r="A139">
        <v>138</v>
      </c>
      <c r="B139" t="s">
        <v>143</v>
      </c>
      <c r="C139" s="1" t="s">
        <v>165</v>
      </c>
      <c r="D139" t="s">
        <v>171</v>
      </c>
      <c r="E139" t="s">
        <v>181</v>
      </c>
      <c r="F139" t="s">
        <v>188</v>
      </c>
      <c r="G139">
        <v>25</v>
      </c>
      <c r="H139" t="s">
        <v>194</v>
      </c>
      <c r="I139">
        <v>1</v>
      </c>
      <c r="J139" t="s">
        <v>195</v>
      </c>
      <c r="K139">
        <v>2</v>
      </c>
      <c r="L139">
        <f t="shared" si="4"/>
        <v>1</v>
      </c>
      <c r="M139" t="str">
        <f t="shared" si="5"/>
        <v>Needs Improvement</v>
      </c>
    </row>
    <row r="140" spans="1:13" x14ac:dyDescent="0.35">
      <c r="A140">
        <v>139</v>
      </c>
      <c r="B140" t="s">
        <v>144</v>
      </c>
      <c r="C140" s="1" t="s">
        <v>164</v>
      </c>
      <c r="D140" t="s">
        <v>168</v>
      </c>
      <c r="E140" t="s">
        <v>180</v>
      </c>
      <c r="F140" t="s">
        <v>186</v>
      </c>
      <c r="G140">
        <v>10</v>
      </c>
      <c r="H140" t="s">
        <v>197</v>
      </c>
      <c r="I140">
        <v>3</v>
      </c>
      <c r="J140" t="s">
        <v>196</v>
      </c>
      <c r="K140">
        <v>4</v>
      </c>
      <c r="L140">
        <f t="shared" si="4"/>
        <v>1</v>
      </c>
      <c r="M140" t="str">
        <f t="shared" si="5"/>
        <v>Needs Improvement</v>
      </c>
    </row>
    <row r="141" spans="1:13" x14ac:dyDescent="0.35">
      <c r="A141">
        <v>140</v>
      </c>
      <c r="B141" t="s">
        <v>145</v>
      </c>
      <c r="C141" s="1" t="s">
        <v>163</v>
      </c>
      <c r="D141" t="s">
        <v>174</v>
      </c>
      <c r="E141" t="s">
        <v>179</v>
      </c>
      <c r="F141" t="s">
        <v>191</v>
      </c>
      <c r="G141">
        <v>23</v>
      </c>
      <c r="H141" t="s">
        <v>196</v>
      </c>
      <c r="I141">
        <v>4</v>
      </c>
      <c r="J141" t="s">
        <v>198</v>
      </c>
      <c r="K141">
        <v>5</v>
      </c>
      <c r="L141">
        <f t="shared" si="4"/>
        <v>1</v>
      </c>
      <c r="M141" t="str">
        <f t="shared" si="5"/>
        <v>Needs Improvement</v>
      </c>
    </row>
    <row r="142" spans="1:13" x14ac:dyDescent="0.35">
      <c r="A142">
        <v>141</v>
      </c>
      <c r="B142" t="s">
        <v>146</v>
      </c>
      <c r="C142" s="1" t="s">
        <v>162</v>
      </c>
      <c r="D142" t="s">
        <v>170</v>
      </c>
      <c r="E142" t="s">
        <v>178</v>
      </c>
      <c r="F142" t="s">
        <v>185</v>
      </c>
      <c r="G142">
        <v>30</v>
      </c>
      <c r="H142" t="s">
        <v>197</v>
      </c>
      <c r="I142">
        <v>3</v>
      </c>
      <c r="J142" t="s">
        <v>196</v>
      </c>
      <c r="K142">
        <v>4</v>
      </c>
      <c r="L142">
        <f t="shared" si="4"/>
        <v>1</v>
      </c>
      <c r="M142" t="str">
        <f t="shared" si="5"/>
        <v>Needs Improvement</v>
      </c>
    </row>
    <row r="143" spans="1:13" x14ac:dyDescent="0.35">
      <c r="A143">
        <v>142</v>
      </c>
      <c r="B143" t="s">
        <v>147</v>
      </c>
      <c r="C143" s="1" t="s">
        <v>161</v>
      </c>
      <c r="D143" t="s">
        <v>175</v>
      </c>
      <c r="E143" t="s">
        <v>177</v>
      </c>
      <c r="F143" t="s">
        <v>184</v>
      </c>
      <c r="G143">
        <v>35</v>
      </c>
      <c r="H143" t="s">
        <v>194</v>
      </c>
      <c r="I143">
        <v>1</v>
      </c>
      <c r="J143" t="s">
        <v>198</v>
      </c>
      <c r="K143">
        <v>5</v>
      </c>
      <c r="L143">
        <f t="shared" si="4"/>
        <v>4</v>
      </c>
      <c r="M143" t="str">
        <f t="shared" si="5"/>
        <v>Needs Improvement</v>
      </c>
    </row>
    <row r="144" spans="1:13" x14ac:dyDescent="0.35">
      <c r="A144">
        <v>143</v>
      </c>
      <c r="B144" t="s">
        <v>148</v>
      </c>
      <c r="C144" s="1" t="s">
        <v>160</v>
      </c>
      <c r="D144" t="s">
        <v>169</v>
      </c>
      <c r="E144" t="s">
        <v>176</v>
      </c>
      <c r="F144" t="s">
        <v>189</v>
      </c>
      <c r="G144">
        <v>20</v>
      </c>
      <c r="H144" t="s">
        <v>195</v>
      </c>
      <c r="I144">
        <v>2</v>
      </c>
      <c r="J144" t="s">
        <v>197</v>
      </c>
      <c r="K144">
        <v>3</v>
      </c>
      <c r="L144">
        <f t="shared" si="4"/>
        <v>1</v>
      </c>
      <c r="M144" t="str">
        <f t="shared" si="5"/>
        <v>Needs Improvement</v>
      </c>
    </row>
    <row r="145" spans="1:13" x14ac:dyDescent="0.35">
      <c r="A145">
        <v>144</v>
      </c>
      <c r="B145" t="s">
        <v>149</v>
      </c>
      <c r="C145" s="1" t="s">
        <v>161</v>
      </c>
      <c r="D145" t="s">
        <v>175</v>
      </c>
      <c r="E145" t="s">
        <v>177</v>
      </c>
      <c r="F145" t="s">
        <v>184</v>
      </c>
      <c r="G145">
        <v>35</v>
      </c>
      <c r="H145" t="s">
        <v>196</v>
      </c>
      <c r="I145">
        <v>4</v>
      </c>
      <c r="J145" t="s">
        <v>196</v>
      </c>
      <c r="K145">
        <v>4</v>
      </c>
      <c r="L145">
        <f t="shared" si="4"/>
        <v>0</v>
      </c>
      <c r="M145" t="str">
        <f t="shared" si="5"/>
        <v>On Track</v>
      </c>
    </row>
    <row r="146" spans="1:13" x14ac:dyDescent="0.35">
      <c r="A146">
        <v>145</v>
      </c>
      <c r="B146" t="s">
        <v>150</v>
      </c>
      <c r="C146" s="1" t="s">
        <v>162</v>
      </c>
      <c r="D146" t="s">
        <v>170</v>
      </c>
      <c r="E146" t="s">
        <v>178</v>
      </c>
      <c r="F146" t="s">
        <v>185</v>
      </c>
      <c r="G146">
        <v>30</v>
      </c>
      <c r="H146" t="s">
        <v>197</v>
      </c>
      <c r="I146">
        <v>3</v>
      </c>
      <c r="J146" t="s">
        <v>196</v>
      </c>
      <c r="K146">
        <v>4</v>
      </c>
      <c r="L146">
        <f t="shared" si="4"/>
        <v>1</v>
      </c>
      <c r="M146" t="str">
        <f t="shared" si="5"/>
        <v>Needs Improvement</v>
      </c>
    </row>
    <row r="147" spans="1:13" x14ac:dyDescent="0.35">
      <c r="A147">
        <v>146</v>
      </c>
      <c r="B147" t="s">
        <v>151</v>
      </c>
      <c r="C147" s="1" t="s">
        <v>163</v>
      </c>
      <c r="D147" t="s">
        <v>174</v>
      </c>
      <c r="E147" t="s">
        <v>179</v>
      </c>
      <c r="F147" t="s">
        <v>191</v>
      </c>
      <c r="G147">
        <v>23</v>
      </c>
      <c r="H147" t="s">
        <v>198</v>
      </c>
      <c r="I147">
        <v>5</v>
      </c>
      <c r="J147" t="s">
        <v>198</v>
      </c>
      <c r="K147">
        <v>5</v>
      </c>
      <c r="L147">
        <f t="shared" si="4"/>
        <v>0</v>
      </c>
      <c r="M147" t="str">
        <f t="shared" si="5"/>
        <v>On Track</v>
      </c>
    </row>
    <row r="148" spans="1:13" x14ac:dyDescent="0.35">
      <c r="A148">
        <v>147</v>
      </c>
      <c r="B148" t="s">
        <v>152</v>
      </c>
      <c r="C148" s="1" t="s">
        <v>164</v>
      </c>
      <c r="D148" t="s">
        <v>168</v>
      </c>
      <c r="E148" t="s">
        <v>180</v>
      </c>
      <c r="F148" t="s">
        <v>186</v>
      </c>
      <c r="G148">
        <v>10</v>
      </c>
      <c r="H148" t="s">
        <v>194</v>
      </c>
      <c r="I148">
        <v>1</v>
      </c>
      <c r="J148" t="s">
        <v>197</v>
      </c>
      <c r="K148">
        <v>3</v>
      </c>
      <c r="L148">
        <f t="shared" si="4"/>
        <v>2</v>
      </c>
      <c r="M148" t="str">
        <f t="shared" si="5"/>
        <v>Needs Improvement</v>
      </c>
    </row>
    <row r="149" spans="1:13" x14ac:dyDescent="0.35">
      <c r="A149">
        <v>148</v>
      </c>
      <c r="B149" t="s">
        <v>153</v>
      </c>
      <c r="C149" s="1" t="s">
        <v>165</v>
      </c>
      <c r="D149" t="s">
        <v>171</v>
      </c>
      <c r="E149" t="s">
        <v>181</v>
      </c>
      <c r="F149" t="s">
        <v>188</v>
      </c>
      <c r="G149">
        <v>25</v>
      </c>
      <c r="H149" t="s">
        <v>195</v>
      </c>
      <c r="I149">
        <v>2</v>
      </c>
      <c r="J149" t="s">
        <v>198</v>
      </c>
      <c r="K149">
        <v>5</v>
      </c>
      <c r="L149">
        <f t="shared" si="4"/>
        <v>3</v>
      </c>
      <c r="M149" t="str">
        <f t="shared" si="5"/>
        <v>Needs Improvement</v>
      </c>
    </row>
    <row r="150" spans="1:13" x14ac:dyDescent="0.35">
      <c r="A150">
        <v>149</v>
      </c>
      <c r="B150" t="s">
        <v>154</v>
      </c>
      <c r="C150" s="1" t="s">
        <v>166</v>
      </c>
      <c r="D150" t="s">
        <v>172</v>
      </c>
      <c r="E150" t="s">
        <v>182</v>
      </c>
      <c r="F150" t="s">
        <v>187</v>
      </c>
      <c r="G150">
        <v>17</v>
      </c>
      <c r="H150" t="s">
        <v>196</v>
      </c>
      <c r="I150">
        <v>4</v>
      </c>
      <c r="J150" t="s">
        <v>198</v>
      </c>
      <c r="K150">
        <v>5</v>
      </c>
      <c r="L150">
        <f t="shared" si="4"/>
        <v>1</v>
      </c>
      <c r="M150" t="str">
        <f t="shared" si="5"/>
        <v>Needs Improvement</v>
      </c>
    </row>
    <row r="151" spans="1:13" x14ac:dyDescent="0.35">
      <c r="A151">
        <v>150</v>
      </c>
      <c r="B151" t="s">
        <v>155</v>
      </c>
      <c r="C151" s="1" t="s">
        <v>167</v>
      </c>
      <c r="D151" t="s">
        <v>173</v>
      </c>
      <c r="E151" t="s">
        <v>183</v>
      </c>
      <c r="F151" t="s">
        <v>190</v>
      </c>
      <c r="G151">
        <v>15</v>
      </c>
      <c r="H151" t="s">
        <v>198</v>
      </c>
      <c r="I151">
        <v>5</v>
      </c>
      <c r="J151" t="s">
        <v>198</v>
      </c>
      <c r="K151">
        <v>5</v>
      </c>
      <c r="L151">
        <f t="shared" si="4"/>
        <v>0</v>
      </c>
      <c r="M151" t="str">
        <f t="shared" si="5"/>
        <v>On Track</v>
      </c>
    </row>
  </sheetData>
  <dataValidations count="10">
    <dataValidation type="list" allowBlank="1" showInputMessage="1" showErrorMessage="1" sqref="D23">
      <formula1>$F$8:$F$13</formula1>
    </dataValidation>
    <dataValidation type="list" allowBlank="1" showInputMessage="1" showErrorMessage="1" sqref="D2:D22 D24:D88 D91:D151">
      <formula1>$F$8:$F$15</formula1>
    </dataValidation>
    <dataValidation type="list" allowBlank="1" showInputMessage="1" showErrorMessage="1" sqref="C2:C151">
      <formula1>$F$4:$F$11</formula1>
    </dataValidation>
    <dataValidation type="list" allowBlank="1" showInputMessage="1" showErrorMessage="1" sqref="E2:E27 E32:E78 E83:E187">
      <formula1>$F$5:$F$12</formula1>
    </dataValidation>
    <dataValidation type="list" allowBlank="1" showInputMessage="1" showErrorMessage="1" sqref="D89:D90">
      <formula1>$F$81</formula1>
    </dataValidation>
    <dataValidation type="list" allowBlank="1" showInputMessage="1" showErrorMessage="1" sqref="F2:F151">
      <formula1>$G$5:$G$12</formula1>
    </dataValidation>
    <dataValidation type="list" allowBlank="1" showInputMessage="1" showErrorMessage="1" sqref="E28:E31">
      <formula1>$G$21</formula1>
    </dataValidation>
    <dataValidation type="list" allowBlank="1" showInputMessage="1" showErrorMessage="1" sqref="E79:E82">
      <formula1>$G$76</formula1>
    </dataValidation>
    <dataValidation type="list" allowBlank="1" showInputMessage="1" showErrorMessage="1" sqref="G2:G151">
      <formula1>$M$6:$M$13</formula1>
    </dataValidation>
    <dataValidation type="list" allowBlank="1" showInputMessage="1" showErrorMessage="1" sqref="H1:H1048576 J1:J1048576">
      <formula1>$L$3:$L$7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sqref="A1:S50"/>
    </sheetView>
  </sheetViews>
  <sheetFormatPr defaultRowHeight="14.5" x14ac:dyDescent="0.35"/>
  <cols>
    <col min="1" max="16384" width="8.7265625" style="6"/>
  </cols>
  <sheetData>
    <row r="1" spans="1:19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</sheetData>
  <mergeCells count="1">
    <mergeCell ref="A1:S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2026-02-08T14:29:34Z</dcterms:created>
  <dcterms:modified xsi:type="dcterms:W3CDTF">2026-02-14T16:24:05Z</dcterms:modified>
</cp:coreProperties>
</file>